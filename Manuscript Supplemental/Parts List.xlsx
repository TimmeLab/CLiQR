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christopher/TimmeLab/Capacitive-Lick-Detection/Manuscript Supplemental/"/>
    </mc:Choice>
  </mc:AlternateContent>
  <xr:revisionPtr revIDLastSave="0" documentId="8_{FB2EB4FD-CD6C-874E-B031-7C0312B5FD1C}" xr6:coauthVersionLast="47" xr6:coauthVersionMax="47" xr10:uidLastSave="{00000000-0000-0000-0000-000000000000}"/>
  <bookViews>
    <workbookView xWindow="0" yWindow="600" windowWidth="23260" windowHeight="13900" xr2:uid="{90C2F0C4-4304-4E00-BD3E-A2106C465086}"/>
  </bookViews>
  <sheets>
    <sheet name="Parts List"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4" l="1"/>
  <c r="G33" i="4"/>
</calcChain>
</file>

<file path=xl/sharedStrings.xml><?xml version="1.0" encoding="utf-8"?>
<sst xmlns="http://schemas.openxmlformats.org/spreadsheetml/2006/main" count="161" uniqueCount="135">
  <si>
    <t>Part Name</t>
  </si>
  <si>
    <t>Vendor</t>
  </si>
  <si>
    <t>Part #</t>
  </si>
  <si>
    <t>Link</t>
  </si>
  <si>
    <t>Qty</t>
  </si>
  <si>
    <t>Price/Unit</t>
  </si>
  <si>
    <t>Total Price</t>
  </si>
  <si>
    <t>Extra Notes</t>
  </si>
  <si>
    <t>METRO Wire Shelving Unit: 60 in x 24 in x 67 7/8 in, Dry, Quick-Adjust, 4 Shelves, Silver</t>
  </si>
  <si>
    <t>Grainger</t>
  </si>
  <si>
    <t>2EWT4</t>
  </si>
  <si>
    <t>https://www.grainger.com/product/METRO-Wire-Shelving-Unit-60-in-x-2EWT4</t>
  </si>
  <si>
    <t>Adafruit EVAL BOARD FOR FT232H</t>
  </si>
  <si>
    <t>Digikey</t>
  </si>
  <si>
    <t>Digikey #: 1528-1449-ND Adafruit #: 2264</t>
  </si>
  <si>
    <t>https://www.digikey.com/en/products/detail/adafruit-industries-llc/2264/5761217</t>
  </si>
  <si>
    <t>Adafruit 2.5MM PITCH 2-PIN CABLE MATCHING</t>
  </si>
  <si>
    <t>Digkey #: 1528-4872-ND Adafruit #: 4872</t>
  </si>
  <si>
    <t>https://www.digikey.com/en/products/detail/adafruit-industries-llc/4872/13922052</t>
  </si>
  <si>
    <t>May want to purchase extras to keep as backups</t>
  </si>
  <si>
    <t>Adafruit MPR121 TOUCH SENSE 12-KEY</t>
  </si>
  <si>
    <t>https://www.digikey.com/en/products/detail/adafruit-industries-llc/1982/4990787</t>
  </si>
  <si>
    <t>STEMMA QT Connector Cables</t>
  </si>
  <si>
    <t>Adafruit</t>
  </si>
  <si>
    <t>Adafruit #: 4210</t>
  </si>
  <si>
    <t>https://www.adafruit.com/product/4210</t>
  </si>
  <si>
    <t>Computer (at least 5 usb ports)</t>
  </si>
  <si>
    <t>Dell</t>
  </si>
  <si>
    <t>Optiplex 7080</t>
  </si>
  <si>
    <t>https://www.dell.com/en-us/shop/desktop-computers/optiplex-7080-micro-desktop/spd/optiplex-7080-micro/cto01o7080mffus</t>
  </si>
  <si>
    <t>1200?</t>
  </si>
  <si>
    <t>Since starting the manuscript, Dell has stopped selling our particular model of Dell Optiplex 7080 (with the i7). The link shows the i5 version, which was a couple hundred dollars less than the i7 version, but I don't remember the exact price difference. The i5 version is currently $989</t>
  </si>
  <si>
    <t>Currently available close alternative to Dell Optiplex 7080</t>
  </si>
  <si>
    <t>https://www.dell.com/en-us/shop/desktop-computers/dell-pro-micro-desktop/spd/dell-pro-qcm1250-micro</t>
  </si>
  <si>
    <t>The closest option that is currently available has a much newer i7 (14700 instead of 10700), but it seems similar otherwise. It is selling new for 1313.51, which is definitely more than the version we have cost new, but not by too much.</t>
  </si>
  <si>
    <t>VESA Mount Arms</t>
  </si>
  <si>
    <t>Amazon</t>
  </si>
  <si>
    <t>https://www.amazon.com/VIVO-Universal-Monitor-Removable-MOUNT-POLE01A/dp/B083F3RPRK/146-9757827-9727065?pd_rd_w=G7t4x&amp;content-id=amzn1.sym.de9a1315-b9df-4c24-863c-7afcb2e4cc0a&amp;pf_rd_p=de9a1315-b9df-4c24-863c-7afcb2e4cc0a&amp;pf_rd_r=PHKFWBWSEFKTR75TRZZ3&amp;pd_rd_wg=F6ing&amp;pd_rd_r=9e7b8dab-e6f7-4b2b-bf1b-8fcb524a6e0e&amp;pd_rd_i=B083F3RPRK&amp;th=1</t>
  </si>
  <si>
    <t>One for the monitor, one for the keyboard tray</t>
  </si>
  <si>
    <t>Stylus*</t>
  </si>
  <si>
    <t>https://www.amazon.com/Targus-Smooth-Standard-Stylus-AMM165US/dp/B0163STAKS?crid=3MU2CM725Y3SR&amp;dib=eyJ2IjoiMSJ9.-SkJ70jE-nqixBwKtjDY83fK2PTL6MdYSFaqxLBQsy4_amkD2GmVQeXGAvM4XGkQ1s27tWIHv9mqdhDAwB_sAkd8fWSTfDNH96_L2HMISdaGbF8cPGShX2DUDsgWWLtQao_svMvpSc5r4VBWBjvQ9MYuEWZRse3qZo3An1kV7RCB4sGvtRDpsSCTBiIhDMH0KH1GIN2Jcm8qxosWHhdoIDBVbWXdg_bNcIeMONubO3OcW44Nsmk6M03nSBFj4v--i3YUpo0AdOcdohrMnP0cv9W8PcZOTWVtZ4-T-2xF55Y.0yoVlRV1afj8aQc1sCH0RWkC8XZlwKzGbIvVstL2aaM&amp;dib_tag=se&amp;keywords=stylus&amp;qid=1743614502&amp;s=pc&amp;sprefix=stylus%2Ccomputers%2C107&amp;sr=1-24</t>
  </si>
  <si>
    <t>Solid core wire*</t>
  </si>
  <si>
    <t>1175-2677-100-ND</t>
  </si>
  <si>
    <t>https://www.digikey.com/en/products/detail/cnc-tech/3132-22-1-2000-001-1-TD/12749403</t>
  </si>
  <si>
    <t>USB-A to USB-C Data Cables (2 pack)</t>
  </si>
  <si>
    <t>https://www.amazon.com/Anker-Charger-Charge-Charging-Samsung/dp/B0BPCZLFS4?crid=2QES39VS08TVJ&amp;dib=eyJ2IjoiMSJ9.IcOZhxxaDPccd7D_9PJSe4RwrsZ_diDb190GqPcGvfy18P1EoSJBk6a2ntjqthouYLhvtaLV5776416rRTFp_fI9dTdwVqixGHm9rlx61KvJdhIYgU8xtNmcejMHZ2YPoa7Vh4QA9t3INEOUBfy0juR9yC9FfZ0ghfDUcF3yVYr2ImW0I7qGbc_QDxAAF_MjCMsW1w1q6dOHEVAbkpDO7EYF7JC0vqMtLthL2M9Ptfo.5e6LLgKI2bqz5c5o5hIatbYNKV0Z7JVyNk_Ijpb6BVs&amp;dib_tag=se&amp;keywords=usb%2Ba%2Bto%2Busb%2Bc%2Bcable&amp;qid=1744119184&amp;sprefix=usb%2Ba%2Bto%2Busb%2Bc%2Bcable%2Caps%2C127&amp;sr=8-4&amp;th=1</t>
  </si>
  <si>
    <t>Need 2 packs of 2 cables (4 total)</t>
  </si>
  <si>
    <t>Keyboard Mount</t>
  </si>
  <si>
    <t>https://www.amazon.com/VIVO-Laptop-Notebook-Platform-STAND-LAP2/dp/B00Z1VBIE0?source=ps-sl-shoppingads-lpcontext&amp;smid=A3W3STWCK1O3NR&amp;gQT=2&amp;th=1</t>
  </si>
  <si>
    <t>Touchscreen monitor</t>
  </si>
  <si>
    <t>Asus VT229H</t>
  </si>
  <si>
    <t>https://www.asus.com/us/displays-desktops/monitors/touch/vt229h/</t>
  </si>
  <si>
    <t>Power Strip</t>
  </si>
  <si>
    <t>52NY43</t>
  </si>
  <si>
    <t>https://www.grainger.com/product/Outlet-Strip-6-Outlets-52NY43</t>
  </si>
  <si>
    <t>Wifi adapter</t>
  </si>
  <si>
    <t>TPLink AC1300</t>
  </si>
  <si>
    <t>https://www.amazon.com/USB-WiFi-Network-Adapter-Dongle/dp/B07P6N2TZH?crid=3S4W5UEWMA4WP&amp;dib=eyJ2IjoiMSJ9.Cpk9qEaP8FCv_AaXO1XwmViZvofeLmTdxDcRN9pOmSb82xKdUM_Yd_7YaNYytesjaEXSEoe8J8yXdL9eRp_E7t4d6zRTNEBjkVzjdE4ne8DiS6NeDwF_l4Ed9drijW-S4yGgtzr2Qg-YunQbvnzpG55PZnDkpR3yBWFTZPEzt5kYlJQ_lM9meokbDW6-Ab0mUTgI18BPHXIyWydF9dNC3nSkQJ4dTCfhN9YNk6LcS2M.8ttEkL-VnKemcGRbXK12pOQY_MTIMVuH-k9cIo2WdZA&amp;dib_tag=se&amp;keywords=usb%2Bwifi%2Badapter&amp;qid=1744636533&amp;sprefix=usb%2Bwifi%2Badapater%2Caps%2C163&amp;sr=8-5&amp;th=1</t>
  </si>
  <si>
    <t>USB Hub</t>
  </si>
  <si>
    <t>https://www.amazon.com/Extender-Splitter-MacBook-Chromebook-Pixelbook/dp/B0DKFF6SVX</t>
  </si>
  <si>
    <t>Used by peripherals like touchscreen, keyboard and wifi adapter</t>
  </si>
  <si>
    <t>Parts Fabricated in Lab</t>
  </si>
  <si>
    <t>May want to print extras to keep as backups</t>
  </si>
  <si>
    <t>The board mount prints are slightly different</t>
  </si>
  <si>
    <t xml:space="preserve">Sippers  </t>
  </si>
  <si>
    <t>10 mL seriological pippette</t>
  </si>
  <si>
    <t>Corning</t>
  </si>
  <si>
    <t>https://ecatalog.corning.com/life-sciences/b2c/US/en/Liquid-Handling/Pipets/Serological-Pipets/Stripette%E2%84%A2-Serological-Pipets/p/4488</t>
  </si>
  <si>
    <t>One case contains 200 pipets</t>
  </si>
  <si>
    <t xml:space="preserve">Rubber Stopper  </t>
  </si>
  <si>
    <t>ASIN: B00V6V9S00</t>
  </si>
  <si>
    <t>https://www.amazon.com/High-Temp-Silicone-Painting-Supplies/dp/B00V6V9S00/ref=sr_1_5?crid=4JIZ6CIULQIX&amp;dib=eyJ2IjoiMSJ9.Re4Y5FTK6jXOhCAU1V2R32avxviNgG9unE-DLeoOATYQ6Id7ikrKtDAYlngIjE2TXohTt1ilUKqeNlEm3JjBfcwVIaEMyxkQCPoPoJLZ_qv9mGUF1W9gnRekbLAnmSjqzmbh38jbtn_BrLz1RLCEfM-kakI-Y81j2PWMd_NDwQWJzwkqNeqw51z6gEJu1XCHwhbkSR_HRy661DTZ3jFHi-NJwkA3a_RL9o_734RqP0w.D6G4QmCQphEr-unE1WsSF-vxgyxW2Oq0qNRh4RQmKl8&amp;dib_tag=se&amp;keywords=silicone+plug+0.25+inch&amp;qid=1733768754&amp;sprefix=silicone+plug+0.25+inch%2Caps%2C112&amp;sr=8-5</t>
  </si>
  <si>
    <t>50 pack</t>
  </si>
  <si>
    <t>Heat Shrink Tubing</t>
  </si>
  <si>
    <t>4WMT2</t>
  </si>
  <si>
    <t>https://www.grainger.com/product/INSULTAB-Heat-Shrink-Tubing-4WMT2</t>
  </si>
  <si>
    <t>5 pack of 4 ft rolls (lots of extra)</t>
  </si>
  <si>
    <t>Drinking Tubes (5/16" Diameter)</t>
  </si>
  <si>
    <t>Ancare</t>
  </si>
  <si>
    <t>TD-102</t>
  </si>
  <si>
    <t>https://www.ancare.com/products/drinking-tubes-5-16-diameter?variant=41326987313338</t>
  </si>
  <si>
    <t>Copper Tape</t>
  </si>
  <si>
    <t xml:space="preserve">	B09WGYP2VR</t>
  </si>
  <si>
    <t>https://www.amazon.com/dp/B09WGYP2VR?ref=fed_asin_title</t>
  </si>
  <si>
    <t>Optional</t>
  </si>
  <si>
    <t>squeeze bottles (pack of 4)</t>
  </si>
  <si>
    <t>Fisher Scientific</t>
  </si>
  <si>
    <t>FB0340922D</t>
  </si>
  <si>
    <t>https://www.fishersci.com/shop/products/translucent-white-wash-bottles-2/FB0340922D?searchHijack=true&amp;searchTerm=FB0340922D&amp;searchType=RAPID&amp;matchedCatNo=FB0340922D</t>
  </si>
  <si>
    <t>sand paper of sorts</t>
  </si>
  <si>
    <t>B08YQYWZFM</t>
  </si>
  <si>
    <t>https://www.amazon.com/3M-Precision-Faster-Sanding-24001TRI-F-B/dp/B08YQYWZFM/ref=sr_1_4?crid=1CZH9IGRKJ76C&amp;dib=eyJ2IjoiMSJ9.fgfdGpDk_8nlTdbYcjLG0kFxmw8SSATaOpkGs14raf-xU888xWX0_KAG34GXKGI_ag9P3a7dTW9V3a9YP_hNpvlhjYzQw4np3AI0RK79pzeVete1L6ZNSMtw0e58VkQEd3vOtdyWD1VmGG7mtYtpO-s0JlRgNc9nzEjn1bbV0bIE0X4VKV_Htq-31ODY4_w9mTDX-w3H7rBdPAhrRpUZhgqRrsJXHKsQzGhcYrOfVrI.M_l6IAIpRvWiyzfMOPO2OR9aJoiWwsHydu3WT4VCeF0&amp;dib_tag=se&amp;keywords=sanding%2Bsponge%2Bpurple%2B3m&amp;qid=1772472550&amp;sprefix=sanding%2Bsponge%2Bpurple%2B3m%2Caps%2C102&amp;sr=8-4&amp;th=1</t>
  </si>
  <si>
    <t>Lab tape</t>
  </si>
  <si>
    <t>NC0647069</t>
  </si>
  <si>
    <t>https://www.fishersci.com/shop/products/rainbow-tape-3-4-w-x-14yd-16pk/NC0647069#?keyword=NC0647069</t>
  </si>
  <si>
    <t>Dremel</t>
  </si>
  <si>
    <t>14H446</t>
  </si>
  <si>
    <t>https://www.grainger.com/product/DREMEL-Rotary-Tool-Kit-1-2-A-Current-14H446</t>
  </si>
  <si>
    <t>Product now discontinued</t>
  </si>
  <si>
    <t>Heat gun</t>
  </si>
  <si>
    <t>Part #: ‎8975-6                     ASIN: B00004TI25</t>
  </si>
  <si>
    <t>https://www.amazon.com/dp/B00004TI25?ref=fed_asin_title</t>
  </si>
  <si>
    <t>Solder Wire with Flux</t>
  </si>
  <si>
    <t>B07XKHNN2Z</t>
  </si>
  <si>
    <t>https://www.amazon.com/dp/B07XKHNN2Z?ref=fed_asin_title</t>
  </si>
  <si>
    <t>Soldering System (Hakko FX888DX-010BY)</t>
  </si>
  <si>
    <t>UPC: 641328089379        ASIN:	B0D4DJW54S</t>
  </si>
  <si>
    <t>https://www.amazon.com/Hakko-FX888DX-010BY-Digital-Soldering-Station/dp/B0D4DJW54S/ref=sr_1_1?crid=2GXFBIRWY6GEV&amp;dib=eyJ2IjoiMSJ9.ibzuReSr7FqSJnxccHVKrc4ryvOJVtbiI6kAKL74BWC1kwPrQLBhEX5pBunju4-yzEL0-qT1Hf1DVNk8iB-SGHtpRRs84zYXU5F74IqoUNvZ60utkV8MpNSfUx6nnjOI6RYI3XEMbsgAk5GomoDdSYXsBjVnyH3A155M9WfrU7oem2YV4MH-w_AqkXzoPoB4lYGLZG2mr5g0Ov6Aq1_WmWANTMJu3IYrzBVXjuDwk4I.GwlN-3TVUrPwwMqSl3Uq8LEXZgEUohbxKB2TpoCM74c&amp;dib_tag=se&amp;keywords=Hakko%2BFX888DX-010BY%2B-%2BDigital%2BSoldering%2BStation%2Bwith%2BRotary&amp;nsdOptOutParam=true&amp;qid=1772468398&amp;sprefix=hakko%2Bfx888dx-010by%2B-%2Bdigital%2Bsoldering%2Bstation%2Bwith%2Brotary%2Caps%2C158&amp;sr=8-1&amp;th=1</t>
  </si>
  <si>
    <t>Soldering Tips/Inserts</t>
  </si>
  <si>
    <t>ASIN: B0CHDJWKR2</t>
  </si>
  <si>
    <t>https://www.amazon.com/ruthex-Bundle-Threaded-Assortment-Soldering/dp/B0CHDJWKR2/ref=sr_1_2_sspa?crid=4U978ZDM7UFY&amp;dib=eyJ2IjoiMSJ9.ZK6RBuxZ7uTZQ1pecxDUVHN2G8FCp6y_SWbFbRX263h-kqeh7spwmPACpe-yl3MKpRvqnUj9TQqCFlhiol-ed7XE8T1tMmeCiThGP1gnguF7zmHMgxVUqpBIoBF9BcEQxagrHl9aeVFKi2WXLlzHxHP00HY-EGOCgEe010DN2AOzgjdUY4p_A69vP_iGacr108yu7CjR7W6uLUlCnA5hfqP5b31Jp-NMmYF1s1jmKeY.zqLr7fbKm-U2ga3VU1vaCyGoHgVv66jkFL-D6g0-XMM&amp;dib_tag=se&amp;keywords=3D+print+thread+inserts&amp;qid=1727819073&amp;sprefix=3d+print+thread+inserts%2Caps%2C117&amp;sr=8-2-spons&amp;sp_csd=d2lkZ2V0TmFtZT1zcF9hdGY&amp;psc=1</t>
  </si>
  <si>
    <t>currently unavailable on amazon</t>
  </si>
  <si>
    <t>M2.5 Threaded Inserts</t>
  </si>
  <si>
    <t>ASIN: B0CS6YVJYD</t>
  </si>
  <si>
    <t>https://www.amazon.com/HANGLIFE-Heat-Set-Threaded-Printing-Components/dp/B0CS6YVJYD/ref=sr_1_1_sspa?crid=JIJF6R7D2OVX&amp;dib=eyJ2IjoiMSJ9.w5XQZCJpsaSAlEwMDFPDMh_Ke4qsFS5MEv7zTSnQvS5BGlzzCbMI3mmZTAzSjJZ5t2EzKh8XPKWdd-rEkzaOBkNGPTIVgz7xEmS35z2VIXVEr_7JKRH1cawVDCQvkwmoxTxdOB4RB9pOnl76oxZ-_ZO5DwtuiJvwxWlLFim-ByXqYoEItz8dRfM3YyrSpGNC9F4bF86Bp7Jnx1aWS7OUI3lKQJtND8KGZz_zyJiLHww.2Olsoh0HsebUkkY1-A9S_j_NMpaE2NDRlYCSjMF5lbU&amp;dib_tag=se&amp;keywords=3d%2Bprint%2Bscrew%2Binsert%2BM2.5&amp;qid=1729262371&amp;sprefix=3d%2Bprint%2Bscrew%2Binsert%2Bm2.5%2Caps%2C81&amp;sr=8-1-spons&amp;sp_csd=d2lkZ2V0TmFtZT1zcF9hdGY&amp;th=1</t>
  </si>
  <si>
    <t>Hot Glue Gun</t>
  </si>
  <si>
    <t>UPC: 793029997412        ASIN: B077XBZGLP</t>
  </si>
  <si>
    <t>https://www.amazon.com/dp/B077XBZGLP?ref=fed_asin_title</t>
  </si>
  <si>
    <t>PLA Filament</t>
  </si>
  <si>
    <t>1942-RM-PL0321-ND</t>
  </si>
  <si>
    <t>https://www.digikey.com/en/products/detail/lulzbot/RM-PL0321/16186609</t>
  </si>
  <si>
    <t>Zip Ties</t>
  </si>
  <si>
    <t>B0C2Z4L3S6</t>
  </si>
  <si>
    <t>https://www.amazon.com/Assorted-Sizes-12-Resistant-ANOSON/dp/B0C2Z4L3S6/ref=sr_1_2_sspa?crid=2EIWG633XTIEY&amp;dib=eyJ2IjoiMSJ9.1_YDXwTea7F0-dqmw5YhtA.tPklUq32b987AKpmOufwZg5z6Vei6NKOLrWDwNXcR08&amp;dib_tag=se&amp;keywords=B0C2Z4L3S6&amp;nsdOptOutParam=true&amp;qid=1772472292&amp;sprefix=b0c2z4l3s6%2Caps%2C132&amp;sr=8-2-spons&amp;sp_csd=d2lkZ2V0TmFtZT1zcF9hdGY&amp;th=1</t>
  </si>
  <si>
    <t>M2.5 X 0.45 Screws for mounting boards to 3D print holders</t>
  </si>
  <si>
    <t>6CY85</t>
  </si>
  <si>
    <t>https://www.grainger.com/product/Socket-Head-Cap-Screw-M2-5x0-6CY85</t>
  </si>
  <si>
    <t>Digikey #: 1528-1038-ND     Adafruit #: 1982</t>
  </si>
  <si>
    <t>3D Printed Sippers Holders</t>
  </si>
  <si>
    <t>3D Printed Board Mount (MPR121)</t>
  </si>
  <si>
    <t>3D Printed Board Mount (FT232H)</t>
  </si>
  <si>
    <t>Tools/Equipment</t>
  </si>
  <si>
    <t>Brand: Milwaukee  Vendor: Amazon</t>
  </si>
  <si>
    <t>Total Cost</t>
  </si>
  <si>
    <t>This parts lists is based off the CLiQR System from the Timme Lab (last updated March 2026). The quantity of parts is for a system of 24 Allentown Mouse Cages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</si>
</sst>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Times New Roman"/>
      <family val="2"/>
    </font>
    <font>
      <u/>
      <sz val="12"/>
      <color theme="10"/>
      <name val="Times New Roman"/>
      <family val="2"/>
    </font>
    <font>
      <b/>
      <sz val="12"/>
      <color theme="1"/>
      <name val="Times New Roman"/>
      <family val="2"/>
    </font>
    <font>
      <b/>
      <sz val="12"/>
      <color rgb="FF000000"/>
      <name val="Times New Roman"/>
    </font>
    <font>
      <b/>
      <sz val="12"/>
      <color rgb="FFFF0000"/>
      <name val="Times New Roman"/>
    </font>
    <font>
      <b/>
      <sz val="12"/>
      <color theme="1"/>
      <name val="Times New Roman"/>
    </font>
    <font>
      <sz val="12"/>
      <color theme="1"/>
      <name val="Times New Roman"/>
    </font>
    <font>
      <sz val="12"/>
      <color rgb="FF000000"/>
      <name val="Times New Roman"/>
    </font>
    <font>
      <sz val="12"/>
      <color rgb="FFFF0000"/>
      <name val="Times New Roman"/>
    </font>
    <font>
      <u/>
      <sz val="12"/>
      <color rgb="FFFF0000"/>
      <name val="Times New Roman"/>
    </font>
    <font>
      <sz val="8"/>
      <color theme="1"/>
      <name val="Times New Roman"/>
    </font>
    <font>
      <sz val="11"/>
      <color rgb="FF333333"/>
      <name val="Times New Roman"/>
    </font>
    <font>
      <sz val="11"/>
      <color rgb="FF000000"/>
      <name val="Times New Roman"/>
    </font>
    <font>
      <u/>
      <sz val="10"/>
      <color theme="10"/>
      <name val="Times New Roman"/>
    </font>
    <font>
      <sz val="12"/>
      <color rgb="FF333333"/>
      <name val="Times New Roman"/>
    </font>
    <font>
      <sz val="12"/>
      <color rgb="FF1B1B1D"/>
      <name val="Times New Roman"/>
    </font>
    <font>
      <b/>
      <sz val="12"/>
      <color rgb="FFFF0000"/>
      <name val="Times New Roman"/>
      <family val="1"/>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0" fillId="0" borderId="0" xfId="0" applyAlignment="1">
      <alignment horizontal="left" vertical="top"/>
    </xf>
    <xf numFmtId="0" fontId="0" fillId="0" borderId="0" xfId="0" applyAlignment="1">
      <alignment vertical="top"/>
    </xf>
    <xf numFmtId="0" fontId="2" fillId="0" borderId="0" xfId="0" applyFont="1" applyAlignment="1">
      <alignment horizontal="left" vertical="top"/>
    </xf>
    <xf numFmtId="0" fontId="5" fillId="0" borderId="1" xfId="0" applyFont="1" applyBorder="1"/>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7" fillId="0" borderId="1" xfId="1" applyFont="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9" fillId="0" borderId="1" xfId="1" applyFont="1" applyBorder="1" applyAlignment="1">
      <alignment horizontal="left" vertical="top"/>
    </xf>
    <xf numFmtId="0" fontId="6" fillId="0" borderId="1" xfId="0" applyFont="1" applyBorder="1"/>
    <xf numFmtId="0" fontId="10" fillId="0" borderId="1" xfId="0" applyFont="1" applyBorder="1" applyAlignment="1">
      <alignment horizontal="left" vertical="top"/>
    </xf>
    <xf numFmtId="0" fontId="5" fillId="0" borderId="1" xfId="0" applyFont="1" applyBorder="1" applyAlignment="1">
      <alignment horizontal="left" vertical="top"/>
    </xf>
    <xf numFmtId="0" fontId="11" fillId="0" borderId="1" xfId="0" applyFont="1" applyBorder="1" applyAlignment="1">
      <alignment vertical="top"/>
    </xf>
    <xf numFmtId="0" fontId="6" fillId="0" borderId="1" xfId="0" applyFont="1" applyBorder="1" applyAlignment="1">
      <alignment vertical="top"/>
    </xf>
    <xf numFmtId="0" fontId="7" fillId="0" borderId="1" xfId="0" applyFont="1" applyBorder="1" applyAlignment="1">
      <alignment vertical="top"/>
    </xf>
    <xf numFmtId="0" fontId="13" fillId="0" borderId="1" xfId="1" applyFont="1" applyBorder="1" applyAlignment="1">
      <alignment horizontal="left" vertical="top" wrapText="1"/>
    </xf>
    <xf numFmtId="0" fontId="13" fillId="0" borderId="1" xfId="1" applyFont="1" applyBorder="1" applyAlignment="1">
      <alignment horizontal="left" vertical="top"/>
    </xf>
    <xf numFmtId="0" fontId="13" fillId="0" borderId="1" xfId="1" applyFont="1" applyFill="1" applyBorder="1" applyAlignment="1">
      <alignment horizontal="left" vertical="top" wrapText="1"/>
    </xf>
    <xf numFmtId="0" fontId="6" fillId="2" borderId="1" xfId="0" applyFont="1" applyFill="1" applyBorder="1" applyAlignment="1">
      <alignment horizontal="left" vertical="top"/>
    </xf>
    <xf numFmtId="0" fontId="14" fillId="0" borderId="1" xfId="0" applyFont="1" applyBorder="1" applyAlignment="1">
      <alignment horizontal="left" vertical="top"/>
    </xf>
    <xf numFmtId="0" fontId="14" fillId="0" borderId="1" xfId="0" applyFont="1" applyBorder="1" applyAlignment="1">
      <alignment vertical="top"/>
    </xf>
    <xf numFmtId="0" fontId="15" fillId="0" borderId="1" xfId="0" applyFont="1" applyBorder="1" applyAlignment="1">
      <alignment horizontal="left" vertical="top"/>
    </xf>
    <xf numFmtId="0" fontId="6" fillId="3" borderId="1" xfId="0" applyFont="1" applyFill="1" applyBorder="1" applyAlignment="1">
      <alignment horizontal="left" vertical="top"/>
    </xf>
    <xf numFmtId="0" fontId="10"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13" fillId="3" borderId="1" xfId="1" applyFont="1" applyFill="1" applyBorder="1" applyAlignment="1">
      <alignment horizontal="left" vertical="top" wrapText="1"/>
    </xf>
    <xf numFmtId="0" fontId="12" fillId="3" borderId="1" xfId="0" applyFont="1" applyFill="1" applyBorder="1"/>
    <xf numFmtId="0" fontId="4" fillId="0" borderId="1" xfId="0" applyFont="1" applyBorder="1" applyAlignment="1">
      <alignment horizontal="center" vertical="center" wrapText="1"/>
    </xf>
    <xf numFmtId="0" fontId="5" fillId="2" borderId="2"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3" fillId="2" borderId="4" xfId="0" applyFont="1" applyFill="1" applyBorder="1" applyAlignment="1">
      <alignment horizontal="center" vertical="top"/>
    </xf>
    <xf numFmtId="0" fontId="16"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dafruit.com/product/4210" TargetMode="External"/><Relationship Id="rId18" Type="http://schemas.openxmlformats.org/officeDocument/2006/relationships/hyperlink" Target="https://www.amazon.com/USB-WiFi-Network-Adapter-Dongle/dp/B07P6N2TZH?crid=3S4W5UEWMA4WP&amp;dib=eyJ2IjoiMSJ9.Cpk9qEaP8FCv_AaXO1XwmViZvofeLmTdxDcRN9pOmSb82xKdUM_Yd_7YaNYytesjaEXSEoe8J8yXdL9eRp_E7t4d6zRTNEBjkVzjdE4ne8DiS6NeDwF_l4Ed9drijW-S4yGgtzr2Qg-YunQbvnzpG55PZnDkpR3yBWFTZPEzt5kYlJQ_lM9meokbDW6-Ab0mUTgI18BPHXIyWydF9dNC3nSkQJ4dTCfhN9YNk6LcS2M.8ttEkL-VnKemcGRbXK12pOQY_MTIMVuH-k9cIo2WdZA&amp;dib_tag=se&amp;keywords=usb%2Bwifi%2Badapter&amp;qid=1744636533&amp;sprefix=usb%2Bwifi%2Badapater%2Caps%2C163&amp;sr=8-5&amp;th=1" TargetMode="External"/><Relationship Id="rId26" Type="http://schemas.openxmlformats.org/officeDocument/2006/relationships/hyperlink" Target="https://www.amazon.com/Hakko-FX888DX-010BY-Digital-Soldering-Station/dp/B0D4DJW54S/ref=sr_1_1?crid=2GXFBIRWY6GEV&amp;dib=eyJ2IjoiMSJ9.ibzuReSr7FqSJnxccHVKrc4ryvOJVtbiI6kAKL74BWC1kwPrQLBhEX5pBunju4-yzEL0-qT1Hf1DVNk8iB-SGHtpRRs84zYXU5F74IqoUNvZ60utkV8MpNSfUx6nnjOI6RYI3XEMbsgAk5GomoDdSYXsBjVnyH3A155M9WfrU7oem2YV4MH-w_AqkXzoPoB4lYGLZG2mr5g0Ov6Aq1_WmWANTMJu3IYrzBVXjuDwk4I.GwlN-3TVUrPwwMqSl3Uq8LEXZgEUohbxKB2TpoCM74c&amp;dib_tag=se&amp;keywords=Hakko%2BFX888DX-010BY%2B-%2BDigital%2BSoldering%2BStation%2Bwith%2BRotary&amp;nsdOptOutParam=true&amp;qid=1772468398&amp;sprefix=hakko%2Bfx888dx-010by%2B-%2Bdigital%2Bsoldering%2Bstation%2Bwith%2Brotary%2Caps%2C158&amp;sr=8-1&amp;th=1" TargetMode="External"/><Relationship Id="rId3" Type="http://schemas.openxmlformats.org/officeDocument/2006/relationships/hyperlink" Target="https://www.digikey.com/en/products/detail/adafruit-industries-llc/4872/13922052" TargetMode="External"/><Relationship Id="rId21" Type="http://schemas.openxmlformats.org/officeDocument/2006/relationships/hyperlink" Target="https://www.amazon.com/dp/B09WGYP2VR?ref=fed_asin_title" TargetMode="External"/><Relationship Id="rId34" Type="http://schemas.openxmlformats.org/officeDocument/2006/relationships/hyperlink" Target="https://www.amazon.com/3M-Precision-Faster-Sanding-24001TRI-F-B/dp/B08YQYWZFM/ref=sr_1_4?crid=1CZH9IGRKJ76C&amp;dib=eyJ2IjoiMSJ9.fgfdGpDk_8nlTdbYcjLG0kFxmw8SSATaOpkGs14raf-xU888xWX0_KAG34GXKGI_ag9P3a7dTW9V3a9YP_hNpvlhjYzQw4np3AI0RK79pzeVete1L6ZNSMtw0e58VkQEd3vOtdyWD1VmGG7mtYtpO-s0JlRgNc9nzEjn1bbV0bIE0X4VKV_Htq-31ODY4_w9mTDX-w3H7rBdPAhrRpUZhgqRrsJXHKsQzGhcYrOfVrI.M_l6IAIpRvWiyzfMOPO2OR9aJoiWwsHydu3WT4VCeF0&amp;dib_tag=se&amp;keywords=sanding%2Bsponge%2Bpurple%2B3m&amp;qid=1772472550&amp;sprefix=sanding%2Bsponge%2Bpurple%2B3m%2Caps%2C102&amp;sr=8-4&amp;th=1" TargetMode="External"/><Relationship Id="rId7" Type="http://schemas.openxmlformats.org/officeDocument/2006/relationships/hyperlink" Target="https://www.grainger.com/product/INSULTAB-Heat-Shrink-Tubing-4WMT2" TargetMode="External"/><Relationship Id="rId12" Type="http://schemas.openxmlformats.org/officeDocument/2006/relationships/hyperlink" Target="https://www.amazon.com/Targus-Smooth-Standard-Stylus-AMM165US/dp/B0163STAKS?crid=3MU2CM725Y3SR&amp;dib=eyJ2IjoiMSJ9.-SkJ70jE-nqixBwKtjDY83fK2PTL6MdYSFaqxLBQsy4_amkD2GmVQeXGAvM4XGkQ1s27tWIHv9mqdhDAwB_sAkd8fWSTfDNH96_L2HMISdaGbF8cPGShX2DUDsgWWLtQao_svMvpSc5r4VBWBjvQ9MYuEWZRse3qZo3An1kV7RCB4sGvtRDpsSCTBiIhDMH0KH1GIN2Jcm8qxosWHhdoIDBVbWXdg_bNcIeMONubO3OcW44Nsmk6M03nSBFj4v--i3YUpo0AdOcdohrMnP0cv9W8PcZOTWVtZ4-T-2xF55Y.0yoVlRV1afj8aQc1sCH0RWkC8XZlwKzGbIvVstL2aaM&amp;dib_tag=se&amp;keywords=stylus&amp;qid=1743614502&amp;s=pc&amp;sprefix=stylus%2Ccomputers%2C107&amp;sr=1-24" TargetMode="External"/><Relationship Id="rId17" Type="http://schemas.openxmlformats.org/officeDocument/2006/relationships/hyperlink" Target="https://www.grainger.com/product/Outlet-Strip-6-Outlets-52NY43" TargetMode="External"/><Relationship Id="rId25" Type="http://schemas.openxmlformats.org/officeDocument/2006/relationships/hyperlink" Target="https://www.amazon.com/dp/B07XKHNN2Z?ref=fed_asin_title" TargetMode="External"/><Relationship Id="rId33" Type="http://schemas.openxmlformats.org/officeDocument/2006/relationships/hyperlink" Target="https://www.amazon.com/Assorted-Sizes-12-Resistant-ANOSON/dp/B0C2Z4L3S6/ref=sr_1_2_sspa?crid=2EIWG633XTIEY&amp;dib=eyJ2IjoiMSJ9.1_YDXwTea7F0-dqmw5YhtA.tPklUq32b987AKpmOufwZg5z6Vei6NKOLrWDwNXcR08&amp;dib_tag=se&amp;keywords=B0C2Z4L3S6&amp;nsdOptOutParam=true&amp;qid=1772472292&amp;sprefix=b0c2z4l3s6%2Caps%2C132&amp;sr=8-2-spons&amp;sp_csd=d2lkZ2V0TmFtZT1zcF9hdGY&amp;th=1" TargetMode="External"/><Relationship Id="rId2" Type="http://schemas.openxmlformats.org/officeDocument/2006/relationships/hyperlink" Target="https://www.digikey.com/en/products/detail/adafruit-industries-llc/2264/5761217" TargetMode="External"/><Relationship Id="rId16" Type="http://schemas.openxmlformats.org/officeDocument/2006/relationships/hyperlink" Target="https://www.dell.com/en-us/shop/desktop-computers/dell-pro-micro-desktop/spd/dell-pro-qcm1250-micro" TargetMode="External"/><Relationship Id="rId20" Type="http://schemas.openxmlformats.org/officeDocument/2006/relationships/hyperlink" Target="https://www.digikey.com/en/products/detail/lulzbot/RM-PL0321/16186609" TargetMode="External"/><Relationship Id="rId29" Type="http://schemas.openxmlformats.org/officeDocument/2006/relationships/hyperlink" Target="https://www.amazon.com/HANGLIFE-Heat-Set-Threaded-Printing-Components/dp/B0CS6YVJYD/ref=sr_1_1_sspa?crid=JIJF6R7D2OVX&amp;dib=eyJ2IjoiMSJ9.w5XQZCJpsaSAlEwMDFPDMh_Ke4qsFS5MEv7zTSnQvS5BGlzzCbMI3mmZTAzSjJZ5t2EzKh8XPKWdd-rEkzaOBkNGPTIVgz7xEmS35z2VIXVEr_7JKRH1cawVDCQvkwmoxTxdOB4RB9pOnl76oxZ-_ZO5DwtuiJvwxWlLFim-ByXqYoEItz8dRfM3YyrSpGNC9F4bF86Bp7Jnx1aWS7OUI3lKQJtND8KGZz_zyJiLHww.2Olsoh0HsebUkkY1-A9S_j_NMpaE2NDRlYCSjMF5lbU&amp;dib_tag=se&amp;keywords=3d%2Bprint%2Bscrew%2Binsert%2BM2.5&amp;qid=1729262371&amp;sprefix=3d%2Bprint%2Bscrew%2Binsert%2Bm2.5%2Caps%2C81&amp;sr=8-1-spons&amp;sp_csd=d2lkZ2V0TmFtZT1zcF9hdGY&amp;th=1" TargetMode="External"/><Relationship Id="rId1" Type="http://schemas.openxmlformats.org/officeDocument/2006/relationships/hyperlink" Target="https://www.grainger.com/product/METRO-Wire-Shelving-Unit-60-in-x-2EWT4" TargetMode="External"/><Relationship Id="rId6" Type="http://schemas.openxmlformats.org/officeDocument/2006/relationships/hyperlink" Target="https://www.amazon.com/High-Temp-Silicone-Painting-Supplies/dp/B00V6V9S00/ref=sr_1_5?crid=4JIZ6CIULQIX&amp;dib=eyJ2IjoiMSJ9.Re4Y5FTK6jXOhCAU1V2R32avxviNgG9unE-DLeoOATYQ6Id7ikrKtDAYlngIjE2TXohTt1ilUKqeNlEm3JjBfcwVIaEMyxkQCPoPoJLZ_qv9mGUF1W9gnRekbLAnmSjqzmbh38jbtn_BrLz1RLCEfM-kakI-Y81j2PWMd_NDwQWJzwkqNeqw51z6gEJu1XCHwhbkSR_HRy661DTZ3jFHi-NJwkA3a_RL9o_734RqP0w.D6G4QmCQphEr-unE1WsSF-vxgyxW2Oq0qNRh4RQmKl8&amp;dib_tag=se&amp;keywords=silicone+plug+0.25+inch&amp;qid=1733768754&amp;sprefix=silicone+plug+0.25+inch%2Caps%2C112&amp;sr=8-5" TargetMode="External"/><Relationship Id="rId11" Type="http://schemas.openxmlformats.org/officeDocument/2006/relationships/hyperlink" Target="https://www.asus.com/us/displays-desktops/monitors/touch/vt229h/" TargetMode="External"/><Relationship Id="rId24" Type="http://schemas.openxmlformats.org/officeDocument/2006/relationships/hyperlink" Target="https://www.amazon.com/dp/B00004TI25?ref=fed_asin_title" TargetMode="External"/><Relationship Id="rId32" Type="http://schemas.openxmlformats.org/officeDocument/2006/relationships/hyperlink" Target="https://www.digikey.com/en/products/detail/cnc-tech/3132-22-1-2000-001-1-TD/12749403" TargetMode="External"/><Relationship Id="rId5" Type="http://schemas.openxmlformats.org/officeDocument/2006/relationships/hyperlink" Target="https://ecatalog.corning.com/life-sciences/b2c/US/en/Liquid-Handling/Pipets/Serological-Pipets/Stripette%E2%84%A2-Serological-Pipets/p/4488" TargetMode="External"/><Relationship Id="rId15" Type="http://schemas.openxmlformats.org/officeDocument/2006/relationships/hyperlink" Target="https://www.amazon.com/Anker-Charger-Charge-Charging-Samsung/dp/B0BPCZLFS4?crid=2QES39VS08TVJ&amp;dib=eyJ2IjoiMSJ9.IcOZhxxaDPccd7D_9PJSe4RwrsZ_diDb190GqPcGvfy18P1EoSJBk6a2ntjqthouYLhvtaLV5776416rRTFp_fI9dTdwVqixGHm9rlx61KvJdhIYgU8xtNmcejMHZ2YPoa7Vh4QA9t3INEOUBfy0juR9yC9FfZ0ghfDUcF3yVYr2ImW0I7qGbc_QDxAAF_MjCMsW1w1q6dOHEVAbkpDO7EYF7JC0vqMtLthL2M9Ptfo.5e6LLgKI2bqz5c5o5hIatbYNKV0Z7JVyNk_Ijpb6BVs&amp;dib_tag=se&amp;keywords=usb%2Ba%2Bto%2Busb%2Bc%2Bcable&amp;qid=1744119184&amp;sprefix=usb%2Ba%2Bto%2Busb%2Bc%2Bcable%2Caps%2C127&amp;sr=8-4&amp;th=1" TargetMode="External"/><Relationship Id="rId23" Type="http://schemas.openxmlformats.org/officeDocument/2006/relationships/hyperlink" Target="https://www.fishersci.com/shop/products/rainbow-tape-3-4-w-x-14yd-16pk/NC0647069" TargetMode="External"/><Relationship Id="rId28" Type="http://schemas.openxmlformats.org/officeDocument/2006/relationships/hyperlink" Target="https://www.amazon.com/dp/B077XBZGLP?ref=fed_asin_title" TargetMode="External"/><Relationship Id="rId10" Type="http://schemas.openxmlformats.org/officeDocument/2006/relationships/hyperlink" Target="https://www.amazon.com/VIVO-Universal-Monitor-Removable-MOUNT-POLE01A/dp/B083F3RPRK/146-9757827-9727065?pd_rd_w=G7t4x&amp;content-id=amzn1.sym.de9a1315-b9df-4c24-863c-7afcb2e4cc0a&amp;pf_rd_p=de9a1315-b9df-4c24-863c-7afcb2e4cc0a&amp;pf_rd_r=PHKFWBWSEFKTR75TRZZ3&amp;pd_rd_wg=F6ing&amp;pd_rd_r=9e7b8dab-e6f7-4b2b-bf1b-8fcb524a6e0e&amp;pd_rd_i=B083F3RPRK&amp;th=1" TargetMode="External"/><Relationship Id="rId19" Type="http://schemas.openxmlformats.org/officeDocument/2006/relationships/hyperlink" Target="https://www.amazon.com/Extender-Splitter-MacBook-Chromebook-Pixelbook/dp/B0DKFF6SVX" TargetMode="External"/><Relationship Id="rId31" Type="http://schemas.openxmlformats.org/officeDocument/2006/relationships/hyperlink" Target="https://www.grainger.com/product/DREMEL-Rotary-Tool-Kit-1-2-A-Current-14H446" TargetMode="External"/><Relationship Id="rId4" Type="http://schemas.openxmlformats.org/officeDocument/2006/relationships/hyperlink" Target="https://www.digikey.com/en/products/detail/adafruit-industries-llc/1982/4990787" TargetMode="External"/><Relationship Id="rId9" Type="http://schemas.openxmlformats.org/officeDocument/2006/relationships/hyperlink" Target="https://www.amazon.com/VIVO-Laptop-Notebook-Platform-STAND-LAP2/dp/B00Z1VBIE0?source=ps-sl-shoppingads-lpcontext&amp;smid=A3W3STWCK1O3NR&amp;gQT=2&amp;th=1" TargetMode="External"/><Relationship Id="rId14" Type="http://schemas.openxmlformats.org/officeDocument/2006/relationships/hyperlink" Target="https://www.dell.com/en-us/shop/desktop-computers/optiplex-7080-micro-desktop/spd/optiplex-7080-micro/cto01o7080mffus" TargetMode="External"/><Relationship Id="rId22" Type="http://schemas.openxmlformats.org/officeDocument/2006/relationships/hyperlink" Target="https://www.fishersci.com/shop/products/translucent-white-wash-bottles-2/FB0340922D?searchHijack=true&amp;searchTerm=FB0340922D&amp;searchType=RAPID&amp;matchedCatNo=FB0340922D" TargetMode="External"/><Relationship Id="rId27" Type="http://schemas.openxmlformats.org/officeDocument/2006/relationships/hyperlink" Target="https://www.amazon.com/ruthex-Bundle-Threaded-Assortment-Soldering/dp/B0CHDJWKR2/ref=sr_1_2_sspa?crid=4U978ZDM7UFY&amp;dib=eyJ2IjoiMSJ9.ZK6RBuxZ7uTZQ1pecxDUVHN2G8FCp6y_SWbFbRX263h-kqeh7spwmPACpe-yl3MKpRvqnUj9TQqCFlhiol-ed7XE8T1tMmeCiThGP1gnguF7zmHMgxVUqpBIoBF9BcEQxagrHl9aeVFKi2WXLlzHxHP00HY-EGOCgEe010DN2AOzgjdUY4p_A69vP_iGacr108yu7CjR7W6uLUlCnA5hfqP5b31Jp-NMmYF1s1jmKeY.zqLr7fbKm-U2ga3VU1vaCyGoHgVv66jkFL-D6g0-XMM&amp;dib_tag=se&amp;keywords=3D+print+thread+inserts&amp;qid=1727819073&amp;sprefix=3d+print+thread+inserts%2Caps%2C117&amp;sr=8-2-spons&amp;sp_csd=d2lkZ2V0TmFtZT1zcF9hdGY&amp;psc=1" TargetMode="External"/><Relationship Id="rId30" Type="http://schemas.openxmlformats.org/officeDocument/2006/relationships/hyperlink" Target="https://www.grainger.com/product/Socket-Head-Cap-Screw-M2-5x0-6CY85" TargetMode="External"/><Relationship Id="rId8" Type="http://schemas.openxmlformats.org/officeDocument/2006/relationships/hyperlink" Target="https://www.ancare.com/products/drinking-tubes-5-16-diameter?variant=41326987313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7299-9404-4B9B-A4AD-05BF7F5324A0}">
  <dimension ref="A1:H60"/>
  <sheetViews>
    <sheetView tabSelected="1" zoomScaleNormal="100" workbookViewId="0">
      <selection sqref="A1:H2"/>
    </sheetView>
  </sheetViews>
  <sheetFormatPr baseColWidth="10" defaultColWidth="8.6640625" defaultRowHeight="16" x14ac:dyDescent="0.2"/>
  <cols>
    <col min="1" max="1" width="32.5" customWidth="1"/>
    <col min="2" max="2" width="18.6640625" customWidth="1"/>
    <col min="3" max="3" width="22.33203125" customWidth="1"/>
    <col min="4" max="4" width="37.1640625" customWidth="1"/>
    <col min="5" max="5" width="6.1640625" customWidth="1"/>
    <col min="6" max="6" width="9.83203125" customWidth="1"/>
    <col min="7" max="7" width="11.6640625" customWidth="1"/>
    <col min="8" max="8" width="85.6640625" customWidth="1"/>
  </cols>
  <sheetData>
    <row r="1" spans="1:8" x14ac:dyDescent="0.2">
      <c r="A1" s="36" t="s">
        <v>134</v>
      </c>
      <c r="B1" s="29"/>
      <c r="C1" s="29"/>
      <c r="D1" s="29"/>
      <c r="E1" s="29"/>
      <c r="F1" s="29"/>
      <c r="G1" s="29"/>
      <c r="H1" s="29"/>
    </row>
    <row r="2" spans="1:8" x14ac:dyDescent="0.2">
      <c r="A2" s="29"/>
      <c r="B2" s="29"/>
      <c r="C2" s="29"/>
      <c r="D2" s="29"/>
      <c r="E2" s="29"/>
      <c r="F2" s="29"/>
      <c r="G2" s="29"/>
      <c r="H2" s="29"/>
    </row>
    <row r="3" spans="1:8" x14ac:dyDescent="0.2">
      <c r="A3" s="4" t="s">
        <v>0</v>
      </c>
      <c r="B3" s="4" t="s">
        <v>1</v>
      </c>
      <c r="C3" s="4" t="s">
        <v>2</v>
      </c>
      <c r="D3" s="4" t="s">
        <v>3</v>
      </c>
      <c r="E3" s="4" t="s">
        <v>4</v>
      </c>
      <c r="F3" s="4" t="s">
        <v>5</v>
      </c>
      <c r="G3" s="4" t="s">
        <v>6</v>
      </c>
      <c r="H3" s="4" t="s">
        <v>7</v>
      </c>
    </row>
    <row r="4" spans="1:8" ht="51" x14ac:dyDescent="0.2">
      <c r="A4" s="5" t="s">
        <v>8</v>
      </c>
      <c r="B4" s="5" t="s">
        <v>9</v>
      </c>
      <c r="C4" s="5" t="s">
        <v>10</v>
      </c>
      <c r="D4" s="17" t="s">
        <v>11</v>
      </c>
      <c r="E4" s="6">
        <v>1</v>
      </c>
      <c r="F4" s="6">
        <v>716.68</v>
      </c>
      <c r="G4" s="6">
        <v>716.68</v>
      </c>
      <c r="H4" s="6"/>
    </row>
    <row r="5" spans="1:8" ht="34" x14ac:dyDescent="0.2">
      <c r="A5" s="6" t="s">
        <v>12</v>
      </c>
      <c r="B5" s="6" t="s">
        <v>13</v>
      </c>
      <c r="C5" s="5" t="s">
        <v>14</v>
      </c>
      <c r="D5" s="17" t="s">
        <v>15</v>
      </c>
      <c r="E5" s="6">
        <v>4</v>
      </c>
      <c r="F5" s="6">
        <v>14.95</v>
      </c>
      <c r="G5" s="6">
        <v>59.8</v>
      </c>
      <c r="H5" s="6"/>
    </row>
    <row r="6" spans="1:8" ht="34" x14ac:dyDescent="0.2">
      <c r="A6" s="5" t="s">
        <v>16</v>
      </c>
      <c r="B6" s="6" t="s">
        <v>13</v>
      </c>
      <c r="C6" s="5" t="s">
        <v>17</v>
      </c>
      <c r="D6" s="17" t="s">
        <v>18</v>
      </c>
      <c r="E6" s="6">
        <v>24</v>
      </c>
      <c r="F6" s="6">
        <v>0.95</v>
      </c>
      <c r="G6" s="6">
        <v>22.8</v>
      </c>
      <c r="H6" s="5" t="s">
        <v>19</v>
      </c>
    </row>
    <row r="7" spans="1:8" ht="34" x14ac:dyDescent="0.2">
      <c r="A7" s="5" t="s">
        <v>20</v>
      </c>
      <c r="B7" s="6" t="s">
        <v>13</v>
      </c>
      <c r="C7" s="5" t="s">
        <v>127</v>
      </c>
      <c r="D7" s="17" t="s">
        <v>21</v>
      </c>
      <c r="E7" s="6">
        <v>4</v>
      </c>
      <c r="F7" s="6">
        <v>7.95</v>
      </c>
      <c r="G7" s="6">
        <v>31.8</v>
      </c>
      <c r="H7" s="6"/>
    </row>
    <row r="8" spans="1:8" ht="17" x14ac:dyDescent="0.2">
      <c r="A8" s="5" t="s">
        <v>22</v>
      </c>
      <c r="B8" s="6" t="s">
        <v>23</v>
      </c>
      <c r="C8" s="7" t="s">
        <v>24</v>
      </c>
      <c r="D8" s="17" t="s">
        <v>25</v>
      </c>
      <c r="E8" s="6">
        <v>4</v>
      </c>
      <c r="F8" s="6">
        <v>0.95</v>
      </c>
      <c r="G8" s="6">
        <v>3.8</v>
      </c>
      <c r="H8" s="6"/>
    </row>
    <row r="9" spans="1:8" ht="45.75" customHeight="1" x14ac:dyDescent="0.2">
      <c r="A9" s="6" t="s">
        <v>26</v>
      </c>
      <c r="B9" s="6" t="s">
        <v>27</v>
      </c>
      <c r="C9" s="6" t="s">
        <v>28</v>
      </c>
      <c r="D9" s="18" t="s">
        <v>29</v>
      </c>
      <c r="E9" s="6">
        <v>1</v>
      </c>
      <c r="F9" s="6" t="s">
        <v>30</v>
      </c>
      <c r="G9" s="6">
        <v>1200</v>
      </c>
      <c r="H9" s="5" t="s">
        <v>31</v>
      </c>
    </row>
    <row r="10" spans="1:8" ht="45.75" customHeight="1" x14ac:dyDescent="0.2">
      <c r="A10" s="8" t="s">
        <v>32</v>
      </c>
      <c r="B10" s="9"/>
      <c r="C10" s="9"/>
      <c r="D10" s="10" t="s">
        <v>33</v>
      </c>
      <c r="E10" s="9"/>
      <c r="F10" s="9"/>
      <c r="G10" s="9"/>
      <c r="H10" s="8" t="s">
        <v>34</v>
      </c>
    </row>
    <row r="11" spans="1:8" x14ac:dyDescent="0.2">
      <c r="A11" s="6" t="s">
        <v>35</v>
      </c>
      <c r="B11" s="6" t="s">
        <v>36</v>
      </c>
      <c r="C11" s="6"/>
      <c r="D11" s="18" t="s">
        <v>37</v>
      </c>
      <c r="E11" s="6">
        <v>2</v>
      </c>
      <c r="F11" s="6">
        <v>29.99</v>
      </c>
      <c r="G11" s="6">
        <v>59.98</v>
      </c>
      <c r="H11" s="6" t="s">
        <v>38</v>
      </c>
    </row>
    <row r="12" spans="1:8" x14ac:dyDescent="0.2">
      <c r="A12" s="6" t="s">
        <v>39</v>
      </c>
      <c r="B12" s="6" t="s">
        <v>36</v>
      </c>
      <c r="C12" s="6"/>
      <c r="D12" s="18" t="s">
        <v>40</v>
      </c>
      <c r="E12" s="6">
        <v>1</v>
      </c>
      <c r="F12" s="6">
        <v>9.99</v>
      </c>
      <c r="G12" s="6">
        <v>9.99</v>
      </c>
      <c r="H12" s="6"/>
    </row>
    <row r="13" spans="1:8" ht="18.75" customHeight="1" x14ac:dyDescent="0.2">
      <c r="A13" s="6" t="s">
        <v>41</v>
      </c>
      <c r="B13" s="6" t="s">
        <v>13</v>
      </c>
      <c r="C13" s="16" t="s">
        <v>42</v>
      </c>
      <c r="D13" s="17" t="s">
        <v>43</v>
      </c>
      <c r="E13" s="6">
        <v>1</v>
      </c>
      <c r="F13" s="6">
        <v>17.41</v>
      </c>
      <c r="G13" s="6">
        <v>17.41</v>
      </c>
      <c r="H13" s="6"/>
    </row>
    <row r="14" spans="1:8" x14ac:dyDescent="0.2">
      <c r="A14" s="6" t="s">
        <v>44</v>
      </c>
      <c r="B14" s="6" t="s">
        <v>36</v>
      </c>
      <c r="C14" s="6"/>
      <c r="D14" s="18" t="s">
        <v>45</v>
      </c>
      <c r="E14" s="6">
        <v>2</v>
      </c>
      <c r="F14" s="6">
        <v>7.99</v>
      </c>
      <c r="G14" s="6">
        <v>15.98</v>
      </c>
      <c r="H14" s="6" t="s">
        <v>46</v>
      </c>
    </row>
    <row r="15" spans="1:8" x14ac:dyDescent="0.2">
      <c r="A15" s="6" t="s">
        <v>47</v>
      </c>
      <c r="B15" s="6" t="s">
        <v>36</v>
      </c>
      <c r="C15" s="6"/>
      <c r="D15" s="18" t="s">
        <v>48</v>
      </c>
      <c r="E15" s="6">
        <v>1</v>
      </c>
      <c r="F15" s="6">
        <v>29.99</v>
      </c>
      <c r="G15" s="6">
        <v>29.99</v>
      </c>
      <c r="H15" s="6"/>
    </row>
    <row r="16" spans="1:8" x14ac:dyDescent="0.2">
      <c r="A16" s="6" t="s">
        <v>49</v>
      </c>
      <c r="B16" s="6" t="s">
        <v>36</v>
      </c>
      <c r="C16" s="6" t="s">
        <v>50</v>
      </c>
      <c r="D16" s="18" t="s">
        <v>51</v>
      </c>
      <c r="E16" s="6">
        <v>1</v>
      </c>
      <c r="F16" s="6">
        <v>209.35</v>
      </c>
      <c r="G16" s="6">
        <v>209.35</v>
      </c>
      <c r="H16" s="6"/>
    </row>
    <row r="17" spans="1:8" x14ac:dyDescent="0.2">
      <c r="A17" s="6" t="s">
        <v>52</v>
      </c>
      <c r="B17" s="6" t="s">
        <v>9</v>
      </c>
      <c r="C17" s="11" t="s">
        <v>53</v>
      </c>
      <c r="D17" s="18" t="s">
        <v>54</v>
      </c>
      <c r="E17" s="6">
        <v>1</v>
      </c>
      <c r="F17" s="6">
        <v>17.91</v>
      </c>
      <c r="G17" s="6">
        <v>17.91</v>
      </c>
      <c r="H17" s="6"/>
    </row>
    <row r="18" spans="1:8" x14ac:dyDescent="0.2">
      <c r="A18" s="6" t="s">
        <v>55</v>
      </c>
      <c r="B18" s="6" t="s">
        <v>36</v>
      </c>
      <c r="C18" s="11" t="s">
        <v>56</v>
      </c>
      <c r="D18" s="18" t="s">
        <v>57</v>
      </c>
      <c r="E18" s="6">
        <v>1</v>
      </c>
      <c r="F18" s="6">
        <v>17.55</v>
      </c>
      <c r="G18" s="6">
        <v>17.55</v>
      </c>
      <c r="H18" s="6"/>
    </row>
    <row r="19" spans="1:8" x14ac:dyDescent="0.2">
      <c r="A19" s="6" t="s">
        <v>58</v>
      </c>
      <c r="B19" s="6" t="s">
        <v>36</v>
      </c>
      <c r="C19" s="11"/>
      <c r="D19" s="18" t="s">
        <v>59</v>
      </c>
      <c r="E19" s="6">
        <v>1</v>
      </c>
      <c r="F19" s="6">
        <v>6.88</v>
      </c>
      <c r="G19" s="6">
        <v>6.88</v>
      </c>
      <c r="H19" s="6" t="s">
        <v>60</v>
      </c>
    </row>
    <row r="20" spans="1:8" ht="15.5" customHeight="1" x14ac:dyDescent="0.2">
      <c r="A20" s="30" t="s">
        <v>61</v>
      </c>
      <c r="B20" s="31"/>
      <c r="C20" s="31"/>
      <c r="D20" s="32"/>
      <c r="E20" s="20"/>
      <c r="F20" s="20"/>
      <c r="G20" s="20"/>
      <c r="H20" s="6"/>
    </row>
    <row r="21" spans="1:8" ht="24" customHeight="1" x14ac:dyDescent="0.2">
      <c r="A21" s="6" t="s">
        <v>118</v>
      </c>
      <c r="B21" s="6" t="s">
        <v>13</v>
      </c>
      <c r="C21" s="15" t="s">
        <v>119</v>
      </c>
      <c r="D21" s="17" t="s">
        <v>120</v>
      </c>
      <c r="E21" s="6">
        <v>1</v>
      </c>
      <c r="F21" s="6">
        <v>20.99</v>
      </c>
      <c r="G21" s="6">
        <v>20.99</v>
      </c>
      <c r="H21" s="6"/>
    </row>
    <row r="22" spans="1:8" ht="24" customHeight="1" x14ac:dyDescent="0.2">
      <c r="A22" s="6"/>
      <c r="B22" s="6"/>
      <c r="C22" s="15"/>
      <c r="D22" s="17"/>
      <c r="E22" s="6"/>
      <c r="F22" s="6"/>
      <c r="G22" s="6"/>
      <c r="H22" s="6"/>
    </row>
    <row r="23" spans="1:8" ht="17" x14ac:dyDescent="0.2">
      <c r="A23" s="6" t="s">
        <v>128</v>
      </c>
      <c r="B23" s="6"/>
      <c r="C23" s="6"/>
      <c r="D23" s="12"/>
      <c r="E23" s="6">
        <v>24</v>
      </c>
      <c r="F23" s="6"/>
      <c r="G23" s="6"/>
      <c r="H23" s="5" t="s">
        <v>62</v>
      </c>
    </row>
    <row r="24" spans="1:8" x14ac:dyDescent="0.2">
      <c r="A24" s="6" t="s">
        <v>129</v>
      </c>
      <c r="B24" s="24"/>
      <c r="C24" s="24"/>
      <c r="D24" s="25"/>
      <c r="E24" s="6">
        <v>4</v>
      </c>
      <c r="F24" s="24"/>
      <c r="G24" s="24"/>
      <c r="H24" s="6" t="s">
        <v>63</v>
      </c>
    </row>
    <row r="25" spans="1:8" x14ac:dyDescent="0.2">
      <c r="A25" s="6" t="s">
        <v>130</v>
      </c>
      <c r="B25" s="24"/>
      <c r="C25" s="24"/>
      <c r="D25" s="25"/>
      <c r="E25" s="6">
        <v>4</v>
      </c>
      <c r="F25" s="24"/>
      <c r="G25" s="24"/>
      <c r="H25" s="6"/>
    </row>
    <row r="26" spans="1:8" ht="21" customHeight="1" x14ac:dyDescent="0.2">
      <c r="A26" s="5" t="s">
        <v>112</v>
      </c>
      <c r="B26" s="6" t="s">
        <v>36</v>
      </c>
      <c r="C26" s="14" t="s">
        <v>113</v>
      </c>
      <c r="D26" s="19" t="s">
        <v>114</v>
      </c>
      <c r="E26" s="6">
        <v>1</v>
      </c>
      <c r="F26" s="6">
        <v>8.99</v>
      </c>
      <c r="G26" s="6">
        <v>8.99</v>
      </c>
      <c r="H26" s="6"/>
    </row>
    <row r="27" spans="1:8" ht="34" x14ac:dyDescent="0.2">
      <c r="A27" s="5" t="s">
        <v>124</v>
      </c>
      <c r="B27" s="6" t="s">
        <v>9</v>
      </c>
      <c r="C27" s="15" t="s">
        <v>125</v>
      </c>
      <c r="D27" s="19" t="s">
        <v>126</v>
      </c>
      <c r="E27" s="6">
        <v>1</v>
      </c>
      <c r="F27" s="6">
        <v>4.68</v>
      </c>
      <c r="G27" s="6">
        <v>4.68</v>
      </c>
      <c r="H27" s="6"/>
    </row>
    <row r="28" spans="1:8" ht="28" x14ac:dyDescent="0.2">
      <c r="A28" s="6" t="s">
        <v>81</v>
      </c>
      <c r="B28" s="6" t="s">
        <v>36</v>
      </c>
      <c r="C28" s="6" t="s">
        <v>82</v>
      </c>
      <c r="D28" s="19" t="s">
        <v>83</v>
      </c>
      <c r="E28" s="6">
        <v>1</v>
      </c>
      <c r="F28" s="6">
        <v>6.89</v>
      </c>
      <c r="G28" s="6">
        <v>6.89</v>
      </c>
      <c r="H28" s="6"/>
    </row>
    <row r="29" spans="1:8" x14ac:dyDescent="0.2">
      <c r="A29" s="13" t="s">
        <v>64</v>
      </c>
      <c r="B29" s="6"/>
      <c r="C29" s="6"/>
      <c r="D29" s="12"/>
      <c r="E29" s="6"/>
      <c r="F29" s="6"/>
      <c r="G29" s="6"/>
      <c r="H29" s="6"/>
    </row>
    <row r="30" spans="1:8" ht="70" x14ac:dyDescent="0.2">
      <c r="A30" s="6" t="s">
        <v>65</v>
      </c>
      <c r="B30" s="6" t="s">
        <v>66</v>
      </c>
      <c r="C30" s="6">
        <v>4488</v>
      </c>
      <c r="D30" s="17" t="s">
        <v>67</v>
      </c>
      <c r="E30" s="6">
        <v>1</v>
      </c>
      <c r="F30" s="6">
        <v>138.5</v>
      </c>
      <c r="G30" s="6">
        <v>138.5</v>
      </c>
      <c r="H30" s="5" t="s">
        <v>68</v>
      </c>
    </row>
    <row r="31" spans="1:8" ht="20.25" customHeight="1" x14ac:dyDescent="0.2">
      <c r="A31" s="6" t="s">
        <v>69</v>
      </c>
      <c r="B31" s="6" t="s">
        <v>36</v>
      </c>
      <c r="C31" s="6" t="s">
        <v>70</v>
      </c>
      <c r="D31" s="17" t="s">
        <v>71</v>
      </c>
      <c r="E31" s="6">
        <v>1</v>
      </c>
      <c r="F31" s="6">
        <v>8.9499999999999993</v>
      </c>
      <c r="G31" s="6">
        <v>8.9499999999999993</v>
      </c>
      <c r="H31" s="6" t="s">
        <v>72</v>
      </c>
    </row>
    <row r="32" spans="1:8" ht="28" x14ac:dyDescent="0.2">
      <c r="A32" s="6" t="s">
        <v>73</v>
      </c>
      <c r="B32" s="6" t="s">
        <v>9</v>
      </c>
      <c r="C32" s="6" t="s">
        <v>74</v>
      </c>
      <c r="D32" s="17" t="s">
        <v>75</v>
      </c>
      <c r="E32" s="6">
        <v>1</v>
      </c>
      <c r="F32" s="6">
        <v>52.89</v>
      </c>
      <c r="G32" s="6">
        <v>52.89</v>
      </c>
      <c r="H32" s="6" t="s">
        <v>76</v>
      </c>
    </row>
    <row r="33" spans="1:8" ht="28" x14ac:dyDescent="0.2">
      <c r="A33" s="6" t="s">
        <v>77</v>
      </c>
      <c r="B33" s="6" t="s">
        <v>78</v>
      </c>
      <c r="C33" s="6" t="s">
        <v>79</v>
      </c>
      <c r="D33" s="17" t="s">
        <v>80</v>
      </c>
      <c r="E33" s="6">
        <v>24</v>
      </c>
      <c r="F33" s="6">
        <v>3.65</v>
      </c>
      <c r="G33" s="6">
        <f>E33*F33</f>
        <v>87.6</v>
      </c>
      <c r="H33" s="5" t="s">
        <v>19</v>
      </c>
    </row>
    <row r="34" spans="1:8" x14ac:dyDescent="0.2">
      <c r="A34" s="33" t="s">
        <v>131</v>
      </c>
      <c r="B34" s="34"/>
      <c r="C34" s="34"/>
      <c r="D34" s="35"/>
      <c r="E34" s="20"/>
      <c r="F34" s="20"/>
      <c r="G34" s="20"/>
      <c r="H34" s="6"/>
    </row>
    <row r="35" spans="1:8" ht="36.75" customHeight="1" x14ac:dyDescent="0.2">
      <c r="A35" s="6" t="s">
        <v>115</v>
      </c>
      <c r="B35" s="24" t="s">
        <v>36</v>
      </c>
      <c r="C35" s="26" t="s">
        <v>116</v>
      </c>
      <c r="D35" s="27" t="s">
        <v>117</v>
      </c>
      <c r="E35" s="24">
        <v>1</v>
      </c>
      <c r="F35" s="26" t="s">
        <v>111</v>
      </c>
      <c r="G35" s="24"/>
      <c r="H35" s="6"/>
    </row>
    <row r="36" spans="1:8" ht="28" x14ac:dyDescent="0.2">
      <c r="A36" s="6" t="s">
        <v>95</v>
      </c>
      <c r="B36" s="24" t="s">
        <v>9</v>
      </c>
      <c r="C36" s="28" t="s">
        <v>96</v>
      </c>
      <c r="D36" s="27" t="s">
        <v>97</v>
      </c>
      <c r="E36" s="24">
        <v>1</v>
      </c>
      <c r="F36" s="24" t="s">
        <v>98</v>
      </c>
      <c r="G36" s="24"/>
      <c r="H36" s="6"/>
    </row>
    <row r="37" spans="1:8" ht="34" x14ac:dyDescent="0.2">
      <c r="A37" s="6" t="s">
        <v>99</v>
      </c>
      <c r="B37" s="5" t="s">
        <v>132</v>
      </c>
      <c r="C37" s="5" t="s">
        <v>100</v>
      </c>
      <c r="D37" s="19" t="s">
        <v>101</v>
      </c>
      <c r="E37" s="6">
        <v>1</v>
      </c>
      <c r="F37" s="6">
        <v>98</v>
      </c>
      <c r="G37" s="6">
        <v>98</v>
      </c>
      <c r="H37" s="6"/>
    </row>
    <row r="38" spans="1:8" ht="33.75" customHeight="1" x14ac:dyDescent="0.2">
      <c r="A38" s="5" t="s">
        <v>105</v>
      </c>
      <c r="B38" s="6" t="s">
        <v>36</v>
      </c>
      <c r="C38" s="5" t="s">
        <v>106</v>
      </c>
      <c r="D38" s="19" t="s">
        <v>107</v>
      </c>
      <c r="E38" s="6">
        <v>1</v>
      </c>
      <c r="F38" s="6">
        <v>117.83</v>
      </c>
      <c r="G38" s="6">
        <v>17.829999999999998</v>
      </c>
      <c r="H38" s="6"/>
    </row>
    <row r="39" spans="1:8" ht="27.75" customHeight="1" x14ac:dyDescent="0.2">
      <c r="A39" s="5" t="s">
        <v>108</v>
      </c>
      <c r="B39" s="24" t="s">
        <v>36</v>
      </c>
      <c r="C39" s="26" t="s">
        <v>109</v>
      </c>
      <c r="D39" s="27" t="s">
        <v>110</v>
      </c>
      <c r="E39" s="24">
        <v>1</v>
      </c>
      <c r="F39" s="26" t="s">
        <v>111</v>
      </c>
      <c r="G39" s="24"/>
      <c r="H39" s="6"/>
    </row>
    <row r="40" spans="1:8" ht="28" x14ac:dyDescent="0.2">
      <c r="A40" s="6" t="s">
        <v>102</v>
      </c>
      <c r="B40" s="6" t="s">
        <v>36</v>
      </c>
      <c r="C40" s="14" t="s">
        <v>103</v>
      </c>
      <c r="D40" s="19" t="s">
        <v>104</v>
      </c>
      <c r="E40" s="6">
        <v>1</v>
      </c>
      <c r="F40" s="6">
        <v>8.5299999999999994</v>
      </c>
      <c r="G40" s="6">
        <v>8.5299999999999994</v>
      </c>
      <c r="H40" s="6"/>
    </row>
    <row r="41" spans="1:8" x14ac:dyDescent="0.2">
      <c r="A41" s="30" t="s">
        <v>84</v>
      </c>
      <c r="B41" s="31"/>
      <c r="C41" s="31"/>
      <c r="D41" s="32"/>
      <c r="E41" s="20"/>
      <c r="F41" s="20"/>
      <c r="G41" s="20"/>
      <c r="H41" s="6"/>
    </row>
    <row r="42" spans="1:8" ht="23.25" customHeight="1" x14ac:dyDescent="0.2">
      <c r="A42" s="6" t="s">
        <v>85</v>
      </c>
      <c r="B42" s="6" t="s">
        <v>86</v>
      </c>
      <c r="C42" s="6" t="s">
        <v>87</v>
      </c>
      <c r="D42" s="19" t="s">
        <v>88</v>
      </c>
      <c r="E42" s="6">
        <v>1</v>
      </c>
      <c r="F42" s="6">
        <v>48.67</v>
      </c>
      <c r="G42" s="6">
        <v>48.67</v>
      </c>
      <c r="H42" s="6"/>
    </row>
    <row r="43" spans="1:8" ht="23.25" customHeight="1" x14ac:dyDescent="0.2">
      <c r="A43" s="6" t="s">
        <v>89</v>
      </c>
      <c r="B43" s="6" t="s">
        <v>36</v>
      </c>
      <c r="C43" s="22" t="s">
        <v>90</v>
      </c>
      <c r="D43" s="19" t="s">
        <v>91</v>
      </c>
      <c r="E43" s="6">
        <v>1</v>
      </c>
      <c r="F43" s="6">
        <v>9.7899999999999991</v>
      </c>
      <c r="G43" s="6">
        <v>9.7899999999999991</v>
      </c>
      <c r="H43" s="6"/>
    </row>
    <row r="44" spans="1:8" ht="21.75" customHeight="1" x14ac:dyDescent="0.2">
      <c r="A44" s="6" t="s">
        <v>92</v>
      </c>
      <c r="B44" s="6" t="s">
        <v>86</v>
      </c>
      <c r="C44" s="23" t="s">
        <v>93</v>
      </c>
      <c r="D44" s="19" t="s">
        <v>94</v>
      </c>
      <c r="E44" s="6">
        <v>1</v>
      </c>
      <c r="F44" s="6">
        <v>74.5</v>
      </c>
      <c r="G44" s="6">
        <v>74.5</v>
      </c>
      <c r="H44" s="6"/>
    </row>
    <row r="45" spans="1:8" ht="24" customHeight="1" x14ac:dyDescent="0.2">
      <c r="A45" s="6" t="s">
        <v>121</v>
      </c>
      <c r="B45" s="6" t="s">
        <v>36</v>
      </c>
      <c r="C45" s="21" t="s">
        <v>122</v>
      </c>
      <c r="D45" s="19" t="s">
        <v>123</v>
      </c>
      <c r="E45" s="6">
        <v>1</v>
      </c>
      <c r="F45" s="6">
        <v>6.99</v>
      </c>
      <c r="G45" s="6">
        <v>6.99</v>
      </c>
      <c r="H45" s="6"/>
    </row>
    <row r="46" spans="1:8" x14ac:dyDescent="0.2">
      <c r="A46" s="1"/>
      <c r="B46" s="1"/>
      <c r="C46" s="1"/>
      <c r="D46" s="1"/>
      <c r="E46" s="1"/>
      <c r="F46" s="1"/>
      <c r="G46" s="1"/>
      <c r="H46" s="1"/>
    </row>
    <row r="47" spans="1:8" x14ac:dyDescent="0.2">
      <c r="A47" s="3" t="s">
        <v>133</v>
      </c>
      <c r="B47" s="1"/>
      <c r="C47" s="1"/>
      <c r="D47" s="1"/>
      <c r="E47" s="1"/>
      <c r="F47" s="1"/>
      <c r="G47" s="1">
        <f>SUM(G4:G45)</f>
        <v>3013.719999999998</v>
      </c>
      <c r="H47" s="1"/>
    </row>
    <row r="48" spans="1:8" x14ac:dyDescent="0.2">
      <c r="A48" s="1"/>
      <c r="B48" s="1"/>
      <c r="C48" s="1"/>
      <c r="D48" s="1"/>
      <c r="E48" s="1"/>
      <c r="F48" s="1"/>
      <c r="G48" s="1"/>
      <c r="H48" s="1"/>
    </row>
    <row r="49" spans="1:8" x14ac:dyDescent="0.2">
      <c r="A49" s="1"/>
      <c r="B49" s="1"/>
      <c r="C49" s="1"/>
      <c r="D49" s="1"/>
      <c r="E49" s="1"/>
      <c r="F49" s="1"/>
      <c r="G49" s="1"/>
      <c r="H49" s="1"/>
    </row>
    <row r="50" spans="1:8" x14ac:dyDescent="0.2">
      <c r="A50" s="1"/>
      <c r="B50" s="1"/>
      <c r="C50" s="1"/>
      <c r="D50" s="1"/>
      <c r="E50" s="1"/>
      <c r="F50" s="1"/>
      <c r="G50" s="1"/>
      <c r="H50" s="1"/>
    </row>
    <row r="51" spans="1:8" x14ac:dyDescent="0.2">
      <c r="A51" s="1"/>
      <c r="B51" s="1"/>
      <c r="C51" s="1"/>
      <c r="D51" s="1"/>
      <c r="E51" s="1"/>
      <c r="F51" s="1"/>
      <c r="G51" s="1"/>
      <c r="H51" s="1"/>
    </row>
    <row r="52" spans="1:8" x14ac:dyDescent="0.2">
      <c r="A52" s="2"/>
      <c r="B52" s="2"/>
      <c r="C52" s="2"/>
      <c r="D52" s="2"/>
      <c r="E52" s="2"/>
      <c r="F52" s="2"/>
      <c r="G52" s="2"/>
      <c r="H52" s="2"/>
    </row>
    <row r="53" spans="1:8" x14ac:dyDescent="0.2">
      <c r="A53" s="2"/>
      <c r="B53" s="2"/>
      <c r="C53" s="2"/>
      <c r="D53" s="2"/>
      <c r="E53" s="2"/>
      <c r="F53" s="2"/>
      <c r="G53" s="2"/>
      <c r="H53" s="2"/>
    </row>
    <row r="54" spans="1:8" x14ac:dyDescent="0.2">
      <c r="A54" s="2"/>
      <c r="B54" s="2"/>
      <c r="C54" s="2"/>
      <c r="D54" s="2"/>
      <c r="E54" s="2"/>
      <c r="F54" s="2"/>
      <c r="G54" s="2"/>
      <c r="H54" s="2"/>
    </row>
    <row r="55" spans="1:8" x14ac:dyDescent="0.2">
      <c r="A55" s="2"/>
      <c r="B55" s="2"/>
      <c r="C55" s="2"/>
      <c r="D55" s="2"/>
      <c r="E55" s="2"/>
      <c r="F55" s="2"/>
      <c r="G55" s="2"/>
      <c r="H55" s="2"/>
    </row>
    <row r="56" spans="1:8" x14ac:dyDescent="0.2">
      <c r="A56" s="2"/>
      <c r="B56" s="2"/>
      <c r="C56" s="2"/>
      <c r="D56" s="2"/>
      <c r="E56" s="2"/>
      <c r="F56" s="2"/>
      <c r="G56" s="2"/>
      <c r="H56" s="2"/>
    </row>
    <row r="57" spans="1:8" x14ac:dyDescent="0.2">
      <c r="A57" s="2"/>
      <c r="B57" s="2"/>
      <c r="C57" s="2"/>
      <c r="D57" s="2"/>
      <c r="E57" s="2"/>
      <c r="F57" s="2"/>
      <c r="G57" s="2"/>
      <c r="H57" s="2"/>
    </row>
    <row r="58" spans="1:8" x14ac:dyDescent="0.2">
      <c r="A58" s="2"/>
      <c r="B58" s="2"/>
      <c r="C58" s="2"/>
      <c r="D58" s="2"/>
      <c r="E58" s="2"/>
      <c r="F58" s="2"/>
      <c r="G58" s="2"/>
      <c r="H58" s="2"/>
    </row>
    <row r="59" spans="1:8" x14ac:dyDescent="0.2">
      <c r="A59" s="2"/>
      <c r="B59" s="2"/>
      <c r="C59" s="2"/>
      <c r="D59" s="2"/>
      <c r="E59" s="2"/>
      <c r="F59" s="2"/>
      <c r="G59" s="2"/>
      <c r="H59" s="2"/>
    </row>
    <row r="60" spans="1:8" x14ac:dyDescent="0.2">
      <c r="A60" s="2"/>
      <c r="B60" s="2"/>
      <c r="C60" s="2"/>
      <c r="D60" s="2"/>
      <c r="E60" s="2"/>
      <c r="F60" s="2"/>
      <c r="G60" s="2"/>
      <c r="H60" s="2"/>
    </row>
  </sheetData>
  <mergeCells count="4">
    <mergeCell ref="A1:H2"/>
    <mergeCell ref="A20:D20"/>
    <mergeCell ref="A34:D34"/>
    <mergeCell ref="A41:D41"/>
  </mergeCells>
  <hyperlinks>
    <hyperlink ref="D4" r:id="rId1" xr:uid="{3671DDCE-40E2-4551-9089-C6DC4340F647}"/>
    <hyperlink ref="D5" r:id="rId2" xr:uid="{CAC0862F-26B0-4C59-920C-82B12C693512}"/>
    <hyperlink ref="D6" r:id="rId3" xr:uid="{A41EA492-3F22-44DE-BD17-05F24301BA87}"/>
    <hyperlink ref="D7" r:id="rId4" xr:uid="{A994DE3A-659F-4D3C-B047-6CDC0929ACD5}"/>
    <hyperlink ref="D30" r:id="rId5" xr:uid="{769069C1-C229-41E3-A4D0-DA9DA0511B71}"/>
    <hyperlink ref="D31" r:id="rId6" display="https://www.amazon.com/High-Temp-Silicone-Painting-Supplies/dp/B00V6V9S00/ref=sr_1_5?crid=4JIZ6CIULQIX&amp;dib=eyJ2IjoiMSJ9.Re4Y5FTK6jXOhCAU1V2R32avxviNgG9unE-DLeoOATYQ6Id7ikrKtDAYlngIjE2TXohTt1ilUKqeNlEm3JjBfcwVIaEMyxkQCPoPoJLZ_qv9mGUF1W9gnRekbLAnmSjqzmbh38jbtn_BrLz1RLCEfM-kakI-Y81j2PWMd_NDwQWJzwkqNeqw51z6gEJu1XCHwhbkSR_HRy661DTZ3jFHi-NJwkA3a_RL9o_734RqP0w.D6G4QmCQphEr-unE1WsSF-vxgyxW2Oq0qNRh4RQmKl8&amp;dib_tag=se&amp;keywords=silicone+plug+0.25+inch&amp;qid=1733768754&amp;sprefix=silicone+plug+0.25+inch%2Caps%2C112&amp;sr=8-5" xr:uid="{483072A2-2B0B-4188-B3DB-35E422DC7E8A}"/>
    <hyperlink ref="D32" r:id="rId7" xr:uid="{525B5F2B-3AE0-458B-A6CF-B31435B453C9}"/>
    <hyperlink ref="D33" r:id="rId8" xr:uid="{F0D8FC8D-63ED-43A0-A9C4-8A70D7FEDA30}"/>
    <hyperlink ref="D15" r:id="rId9" xr:uid="{F44FC5C3-D2E1-4AB5-88CE-D9E4A5A25CF9}"/>
    <hyperlink ref="D11" r:id="rId10" display="https://www.amazon.com/VIVO-Universal-Monitor-Removable-MOUNT-POLE01A/dp/B083F3RPRK/146-9757827-9727065?pd_rd_w=G7t4x&amp;content-id=amzn1.sym.de9a1315-b9df-4c24-863c-7afcb2e4cc0a&amp;pf_rd_p=de9a1315-b9df-4c24-863c-7afcb2e4cc0a&amp;pf_rd_r=PHKFWBWSEFKTR75TRZZ3&amp;pd_rd_wg=F6ing&amp;pd_rd_r=9e7b8dab-e6f7-4b2b-bf1b-8fcb524a6e0e&amp;pd_rd_i=B083F3RPRK&amp;th=1" xr:uid="{E3537733-28C2-4743-8C1F-2B4A996744E6}"/>
    <hyperlink ref="D16" r:id="rId11" xr:uid="{DCDA01C1-B903-49DB-B98D-6BFE9642144E}"/>
    <hyperlink ref="D12" r:id="rId12" display="https://www.amazon.com/Targus-Smooth-Standard-Stylus-AMM165US/dp/B0163STAKS?crid=3MU2CM725Y3SR&amp;dib=eyJ2IjoiMSJ9.-SkJ70jE-nqixBwKtjDY83fK2PTL6MdYSFaqxLBQsy4_amkD2GmVQeXGAvM4XGkQ1s27tWIHv9mqdhDAwB_sAkd8fWSTfDNH96_L2HMISdaGbF8cPGShX2DUDsgWWLtQao_svMvpSc5r4VBWBjvQ9MYuEWZRse3qZo3An1kV7RCB4sGvtRDpsSCTBiIhDMH0KH1GIN2Jcm8qxosWHhdoIDBVbWXdg_bNcIeMONubO3OcW44Nsmk6M03nSBFj4v--i3YUpo0AdOcdohrMnP0cv9W8PcZOTWVtZ4-T-2xF55Y.0yoVlRV1afj8aQc1sCH0RWkC8XZlwKzGbIvVstL2aaM&amp;dib_tag=se&amp;keywords=stylus&amp;qid=1743614502&amp;s=pc&amp;sprefix=stylus%2Ccomputers%2C107&amp;sr=1-24" xr:uid="{2C5CE09E-53EF-4FE5-A391-24C5BEC009CE}"/>
    <hyperlink ref="D8" r:id="rId13" xr:uid="{B68D277F-F6C9-4859-B4E1-92AD828DC6FC}"/>
    <hyperlink ref="D9" r:id="rId14" xr:uid="{EBA37592-05F1-4EF1-A034-18C7F018617F}"/>
    <hyperlink ref="D14" r:id="rId15" display="https://www.amazon.com/Anker-Charger-Charge-Charging-Samsung/dp/B0BPCZLFS4?crid=2QES39VS08TVJ&amp;dib=eyJ2IjoiMSJ9.IcOZhxxaDPccd7D_9PJSe4RwrsZ_diDb190GqPcGvfy18P1EoSJBk6a2ntjqthouYLhvtaLV5776416rRTFp_fI9dTdwVqixGHm9rlx61KvJdhIYgU8xtNmcejMHZ2YPoa7Vh4QA9t3INEOUBfy0juR9yC9FfZ0ghfDUcF3yVYr2ImW0I7qGbc_QDxAAF_MjCMsW1w1q6dOHEVAbkpDO7EYF7JC0vqMtLthL2M9Ptfo.5e6LLgKI2bqz5c5o5hIatbYNKV0Z7JVyNk_Ijpb6BVs&amp;dib_tag=se&amp;keywords=usb%2Ba%2Bto%2Busb%2Bc%2Bcable&amp;qid=1744119184&amp;sprefix=usb%2Ba%2Bto%2Busb%2Bc%2Bcable%2Caps%2C127&amp;sr=8-4&amp;th=1" xr:uid="{3D9C636F-64C2-40D1-B17F-F213335C142A}"/>
    <hyperlink ref="D10" r:id="rId16" xr:uid="{0BC9D4D8-2E59-4E2A-A238-7D2283974F2B}"/>
    <hyperlink ref="D17" r:id="rId17" xr:uid="{5637A045-590F-4CB9-BD45-E932B9E81719}"/>
    <hyperlink ref="D18" r:id="rId18" display="https://www.amazon.com/USB-WiFi-Network-Adapter-Dongle/dp/B07P6N2TZH?crid=3S4W5UEWMA4WP&amp;dib=eyJ2IjoiMSJ9.Cpk9qEaP8FCv_AaXO1XwmViZvofeLmTdxDcRN9pOmSb82xKdUM_Yd_7YaNYytesjaEXSEoe8J8yXdL9eRp_E7t4d6zRTNEBjkVzjdE4ne8DiS6NeDwF_l4Ed9drijW-S4yGgtzr2Qg-YunQbvnzpG55PZnDkpR3yBWFTZPEzt5kYlJQ_lM9meokbDW6-Ab0mUTgI18BPHXIyWydF9dNC3nSkQJ4dTCfhN9YNk6LcS2M.8ttEkL-VnKemcGRbXK12pOQY_MTIMVuH-k9cIo2WdZA&amp;dib_tag=se&amp;keywords=usb%2Bwifi%2Badapter&amp;qid=1744636533&amp;sprefix=usb%2Bwifi%2Badapater%2Caps%2C163&amp;sr=8-5&amp;th=1" xr:uid="{61CC1E59-B060-41FD-A976-D15225AF6405}"/>
    <hyperlink ref="D19" r:id="rId19" xr:uid="{2615B897-24E7-43EA-848C-70F9BA2EE657}"/>
    <hyperlink ref="D21" r:id="rId20" xr:uid="{95829234-AB81-43E6-A071-9EC94BA71DBB}"/>
    <hyperlink ref="D28" r:id="rId21" xr:uid="{2D8D6E97-2B6C-4CBB-9874-CE8E80591002}"/>
    <hyperlink ref="D42" r:id="rId22" xr:uid="{35556C66-C99F-450F-9520-B249B0646787}"/>
    <hyperlink ref="D44" r:id="rId23" location="?keyword=NC0647069" xr:uid="{FE96DDF6-FAC1-4023-AE53-3A119E34E367}"/>
    <hyperlink ref="D37" r:id="rId24" xr:uid="{5F660968-EB13-47CA-9F36-2E30AF3F02B8}"/>
    <hyperlink ref="D40" r:id="rId25" xr:uid="{07A4C7E9-6EF0-4D03-B9C3-A621739CB963}"/>
    <hyperlink ref="D38" r:id="rId26" display="https://www.amazon.com/Hakko-FX888DX-010BY-Digital-Soldering-Station/dp/B0D4DJW54S/ref=sr_1_1?crid=2GXFBIRWY6GEV&amp;dib=eyJ2IjoiMSJ9.ibzuReSr7FqSJnxccHVKrc4ryvOJVtbiI6kAKL74BWC1kwPrQLBhEX5pBunju4-yzEL0-qT1Hf1DVNk8iB-SGHtpRRs84zYXU5F74IqoUNvZ60utkV8MpNSfUx6nnjOI6RYI3XEMbsgAk5GomoDdSYXsBjVnyH3A155M9WfrU7oem2YV4MH-w_AqkXzoPoB4lYGLZG2mr5g0Ov6Aq1_WmWANTMJu3IYrzBVXjuDwk4I.GwlN-3TVUrPwwMqSl3Uq8LEXZgEUohbxKB2TpoCM74c&amp;dib_tag=se&amp;keywords=Hakko%2BFX888DX-010BY%2B-%2BDigital%2BSoldering%2BStation%2Bwith%2BRotary&amp;nsdOptOutParam=true&amp;qid=1772468398&amp;sprefix=hakko%2Bfx888dx-010by%2B-%2Bdigital%2Bsoldering%2Bstation%2Bwith%2Brotary%2Caps%2C158&amp;sr=8-1&amp;th=1" xr:uid="{013C5113-93A8-4321-BD11-8A4FDF10D9BD}"/>
    <hyperlink ref="D39" r:id="rId27" display="https://www.amazon.com/ruthex-Bundle-Threaded-Assortment-Soldering/dp/B0CHDJWKR2/ref=sr_1_2_sspa?crid=4U978ZDM7UFY&amp;dib=eyJ2IjoiMSJ9.ZK6RBuxZ7uTZQ1pecxDUVHN2G8FCp6y_SWbFbRX263h-kqeh7spwmPACpe-yl3MKpRvqnUj9TQqCFlhiol-ed7XE8T1tMmeCiThGP1gnguF7zmHMgxVUqpBIoBF9BcEQxagrHl9aeVFKi2WXLlzHxHP00HY-EGOCgEe010DN2AOzgjdUY4p_A69vP_iGacr108yu7CjR7W6uLUlCnA5hfqP5b31Jp-NMmYF1s1jmKeY.zqLr7fbKm-U2ga3VU1vaCyGoHgVv66jkFL-D6g0-XMM&amp;dib_tag=se&amp;keywords=3D+print+thread+inserts&amp;qid=1727819073&amp;sprefix=3d+print+thread+inserts%2Caps%2C117&amp;sr=8-2-spons&amp;sp_csd=d2lkZ2V0TmFtZT1zcF9hdGY&amp;psc=1" xr:uid="{A713A479-D42E-4EC3-B7C6-2D49C6BCF67F}"/>
    <hyperlink ref="D35" r:id="rId28" xr:uid="{6F6248FB-93B9-4C31-8444-C393EC8FF9BA}"/>
    <hyperlink ref="D26" r:id="rId29" display="https://www.amazon.com/HANGLIFE-Heat-Set-Threaded-Printing-Components/dp/B0CS6YVJYD/ref=sr_1_1_sspa?crid=JIJF6R7D2OVX&amp;dib=eyJ2IjoiMSJ9.w5XQZCJpsaSAlEwMDFPDMh_Ke4qsFS5MEv7zTSnQvS5BGlzzCbMI3mmZTAzSjJZ5t2EzKh8XPKWdd-rEkzaOBkNGPTIVgz7xEmS35z2VIXVEr_7JKRH1cawVDCQvkwmoxTxdOB4RB9pOnl76oxZ-_ZO5DwtuiJvwxWlLFim-ByXqYoEItz8dRfM3YyrSpGNC9F4bF86Bp7Jnx1aWS7OUI3lKQJtND8KGZz_zyJiLHww.2Olsoh0HsebUkkY1-A9S_j_NMpaE2NDRlYCSjMF5lbU&amp;dib_tag=se&amp;keywords=3d%2Bprint%2Bscrew%2Binsert%2BM2.5&amp;qid=1729262371&amp;sprefix=3d%2Bprint%2Bscrew%2Binsert%2Bm2.5%2Caps%2C81&amp;sr=8-1-spons&amp;sp_csd=d2lkZ2V0TmFtZT1zcF9hdGY&amp;th=1" xr:uid="{9924E7F8-91DC-485F-990D-8E830257D409}"/>
    <hyperlink ref="D27" r:id="rId30" xr:uid="{0B9FB991-234A-4F13-A02C-309878D5F2E4}"/>
    <hyperlink ref="D36" r:id="rId31" xr:uid="{BDB91B3B-BFD5-42A0-ABBB-1F6091725710}"/>
    <hyperlink ref="D13" r:id="rId32" xr:uid="{8E9837BA-4DDC-4268-B6FE-452E2AA831DC}"/>
    <hyperlink ref="D45" r:id="rId33" display="https://www.amazon.com/Assorted-Sizes-12-Resistant-ANOSON/dp/B0C2Z4L3S6/ref=sr_1_2_sspa?crid=2EIWG633XTIEY&amp;dib=eyJ2IjoiMSJ9.1_YDXwTea7F0-dqmw5YhtA.tPklUq32b987AKpmOufwZg5z6Vei6NKOLrWDwNXcR08&amp;dib_tag=se&amp;keywords=B0C2Z4L3S6&amp;nsdOptOutParam=true&amp;qid=1772472292&amp;sprefix=b0c2z4l3s6%2Caps%2C132&amp;sr=8-2-spons&amp;sp_csd=d2lkZ2V0TmFtZT1zcF9hdGY&amp;th=1" xr:uid="{FBE2CD80-F602-4194-BDA2-0EA80E8351D0}"/>
    <hyperlink ref="D43" r:id="rId34" display="https://www.amazon.com/3M-Precision-Faster-Sanding-24001TRI-F-B/dp/B08YQYWZFM/ref=sr_1_4?crid=1CZH9IGRKJ76C&amp;dib=eyJ2IjoiMSJ9.fgfdGpDk_8nlTdbYcjLG0kFxmw8SSATaOpkGs14raf-xU888xWX0_KAG34GXKGI_ag9P3a7dTW9V3a9YP_hNpvlhjYzQw4np3AI0RK79pzeVete1L6ZNSMtw0e58VkQEd3vOtdyWD1VmGG7mtYtpO-s0JlRgNc9nzEjn1bbV0bIE0X4VKV_Htq-31ODY4_w9mTDX-w3H7rBdPAhrRpUZhgqRrsJXHKsQzGhcYrOfVrI.M_l6IAIpRvWiyzfMOPO2OR9aJoiWwsHydu3WT4VCeF0&amp;dib_tag=se&amp;keywords=sanding%2Bsponge%2Bpurple%2B3m&amp;qid=1772472550&amp;sprefix=sanding%2Bsponge%2Bpurple%2B3m%2Caps%2C102&amp;sr=8-4&amp;th=1" xr:uid="{DAC659EA-B707-4087-8E98-1DCFAEEC003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2A5BE814F58B4DA9E00C2C1A59A4CA" ma:contentTypeVersion="12" ma:contentTypeDescription="Create a new document." ma:contentTypeScope="" ma:versionID="4b608896ea67c7e5bef5d9b9c28d0b56">
  <xsd:schema xmlns:xsd="http://www.w3.org/2001/XMLSchema" xmlns:xs="http://www.w3.org/2001/XMLSchema" xmlns:p="http://schemas.microsoft.com/office/2006/metadata/properties" xmlns:ns2="11771c73-c15b-4831-a2f4-31d0f94081c3" xmlns:ns3="846f9875-481d-449e-b762-73866c8aa418" targetNamespace="http://schemas.microsoft.com/office/2006/metadata/properties" ma:root="true" ma:fieldsID="7b8aa963b95923ca29a8ff9ed3988aa2" ns2:_="" ns3:_="">
    <xsd:import namespace="11771c73-c15b-4831-a2f4-31d0f94081c3"/>
    <xsd:import namespace="846f9875-481d-449e-b762-73866c8aa4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771c73-c15b-4831-a2f4-31d0f94081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7ed257-b896-4b55-84f7-2c4d79b9c33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6f9875-481d-449e-b762-73866c8aa4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213c1d0-61b9-49c1-a1df-b8ae1b7f07ec}" ma:internalName="TaxCatchAll" ma:showField="CatchAllData" ma:web="846f9875-481d-449e-b762-73866c8aa4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1771c73-c15b-4831-a2f4-31d0f94081c3">
      <Terms xmlns="http://schemas.microsoft.com/office/infopath/2007/PartnerControls"/>
    </lcf76f155ced4ddcb4097134ff3c332f>
    <TaxCatchAll xmlns="846f9875-481d-449e-b762-73866c8aa418" xsi:nil="true"/>
  </documentManagement>
</p:properties>
</file>

<file path=customXml/itemProps1.xml><?xml version="1.0" encoding="utf-8"?>
<ds:datastoreItem xmlns:ds="http://schemas.openxmlformats.org/officeDocument/2006/customXml" ds:itemID="{B4B90D64-C26D-40F6-B62D-92E80769AD28}">
  <ds:schemaRefs>
    <ds:schemaRef ds:uri="http://schemas.microsoft.com/sharepoint/v3/contenttype/forms"/>
  </ds:schemaRefs>
</ds:datastoreItem>
</file>

<file path=customXml/itemProps2.xml><?xml version="1.0" encoding="utf-8"?>
<ds:datastoreItem xmlns:ds="http://schemas.openxmlformats.org/officeDocument/2006/customXml" ds:itemID="{9D744FCF-53A4-437F-A021-811CBBB046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771c73-c15b-4831-a2f4-31d0f94081c3"/>
    <ds:schemaRef ds:uri="846f9875-481d-449e-b762-73866c8aa4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D1AECC-BEA5-49D9-9F56-AF136CABCDA9}">
  <ds:schemaRefs>
    <ds:schemaRef ds:uri="http://schemas.microsoft.com/office/2006/metadata/properties"/>
    <ds:schemaRef ds:uri="http://schemas.microsoft.com/office/infopath/2007/PartnerControls"/>
    <ds:schemaRef ds:uri="11771c73-c15b-4831-a2f4-31d0f94081c3"/>
    <ds:schemaRef ds:uri="846f9875-481d-449e-b762-73866c8aa418"/>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Parts List</vt:lpstr>
    </vt:vector>
  </TitlesOfParts>
  <Manager/>
  <Company>University of Cincinnati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 Alexis (lamad)</dc:creator>
  <cp:keywords/>
  <dc:description/>
  <cp:lastModifiedBy>Parker, Christopher (parkecp)</cp:lastModifiedBy>
  <cp:revision/>
  <dcterms:created xsi:type="dcterms:W3CDTF">2024-03-13T13:51:20Z</dcterms:created>
  <dcterms:modified xsi:type="dcterms:W3CDTF">2026-03-18T15:29:10Z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0x0101006B2A5BE814F58B4DA9E00C2C1A59A4CA</vt:lpwstr>
  </property>
  <property fmtid="{D5CDD505-2E9C-101B-9397-08002B2CF9AE}" pid="3" name="MediaServiceImageTags">
    <vt:lpwstr/>
  </property>
</Properties>
</file>